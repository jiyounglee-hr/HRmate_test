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urophet.sharepoint.com/sites/team.hr/Shared Documents/General/05. 임직원/000. 임직원 명부/통계자동화_test/"/>
    </mc:Choice>
  </mc:AlternateContent>
  <xr:revisionPtr revIDLastSave="161" documentId="8_{196B20E2-E76C-4AE2-88BD-12712C705046}" xr6:coauthVersionLast="47" xr6:coauthVersionMax="47" xr10:uidLastSave="{81876ECD-7BC0-4CE9-BFA2-CB44F923C4CA}"/>
  <bookViews>
    <workbookView xWindow="-120" yWindow="-120" windowWidth="29040" windowHeight="15720" xr2:uid="{FD82CF73-7B33-4D9F-886C-3CDBE4132BD0}"/>
  </bookViews>
  <sheets>
    <sheet name="근태신청관리 다운로드" sheetId="1" r:id="rId1"/>
    <sheet name="페이지" sheetId="2" state="hidden" r:id="rId2"/>
    <sheet name="기초데이터" sheetId="3" state="hidden" r:id="rId3"/>
  </sheets>
  <externalReferences>
    <externalReference r:id="rId4"/>
  </externalReferences>
  <definedNames>
    <definedName name="_xlnm._FilterDatabase" localSheetId="0" hidden="1">'근태신청관리 다운로드'!$A$1:$Y$330</definedName>
    <definedName name="신청내역">'근태신청관리 다운로드'!$I:$Y</definedName>
    <definedName name="신청월">'근태신청관리 다운로드'!$B:$B</definedName>
    <definedName name="초과시간">'근태신청관리 다운로드'!$Y:$Y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3" i="1" l="1"/>
  <c r="Y203" i="1" s="1"/>
  <c r="W203" i="1"/>
  <c r="U203" i="1"/>
  <c r="Z203" i="1" s="1"/>
  <c r="A203" i="1"/>
  <c r="X221" i="1"/>
  <c r="W221" i="1"/>
  <c r="U221" i="1"/>
  <c r="A221" i="1"/>
  <c r="X328" i="1"/>
  <c r="W328" i="1"/>
  <c r="U328" i="1"/>
  <c r="V328" i="1" s="1"/>
  <c r="A328" i="1"/>
  <c r="X327" i="1"/>
  <c r="W327" i="1"/>
  <c r="U327" i="1"/>
  <c r="A327" i="1"/>
  <c r="X326" i="1"/>
  <c r="W326" i="1"/>
  <c r="U326" i="1"/>
  <c r="V326" i="1" s="1"/>
  <c r="A326" i="1"/>
  <c r="X325" i="1"/>
  <c r="W325" i="1"/>
  <c r="Y325" i="1" s="1"/>
  <c r="U325" i="1"/>
  <c r="A325" i="1"/>
  <c r="X324" i="1"/>
  <c r="W324" i="1"/>
  <c r="U324" i="1"/>
  <c r="V324" i="1" s="1"/>
  <c r="A324" i="1"/>
  <c r="X323" i="1"/>
  <c r="W323" i="1"/>
  <c r="U323" i="1"/>
  <c r="A323" i="1"/>
  <c r="X322" i="1"/>
  <c r="W322" i="1"/>
  <c r="U322" i="1"/>
  <c r="A322" i="1"/>
  <c r="X321" i="1"/>
  <c r="W321" i="1"/>
  <c r="U321" i="1"/>
  <c r="A321" i="1"/>
  <c r="X320" i="1"/>
  <c r="W320" i="1"/>
  <c r="U320" i="1"/>
  <c r="V320" i="1" s="1"/>
  <c r="A320" i="1"/>
  <c r="X240" i="1"/>
  <c r="W240" i="1"/>
  <c r="U240" i="1"/>
  <c r="A240" i="1"/>
  <c r="X318" i="1"/>
  <c r="W318" i="1"/>
  <c r="U318" i="1"/>
  <c r="A318" i="1"/>
  <c r="X317" i="1"/>
  <c r="W317" i="1"/>
  <c r="U317" i="1"/>
  <c r="A317" i="1"/>
  <c r="X316" i="1"/>
  <c r="W316" i="1"/>
  <c r="U316" i="1"/>
  <c r="V316" i="1" s="1"/>
  <c r="A316" i="1"/>
  <c r="X315" i="1"/>
  <c r="W315" i="1"/>
  <c r="U315" i="1"/>
  <c r="A315" i="1"/>
  <c r="X314" i="1"/>
  <c r="W314" i="1"/>
  <c r="U314" i="1"/>
  <c r="V314" i="1" s="1"/>
  <c r="A314" i="1"/>
  <c r="X254" i="1"/>
  <c r="W254" i="1"/>
  <c r="U254" i="1"/>
  <c r="A254" i="1"/>
  <c r="X312" i="1"/>
  <c r="W312" i="1"/>
  <c r="U312" i="1"/>
  <c r="V312" i="1" s="1"/>
  <c r="A312" i="1"/>
  <c r="X311" i="1"/>
  <c r="W311" i="1"/>
  <c r="U311" i="1"/>
  <c r="A311" i="1"/>
  <c r="X310" i="1"/>
  <c r="W310" i="1"/>
  <c r="U310" i="1"/>
  <c r="A310" i="1"/>
  <c r="X309" i="1"/>
  <c r="W309" i="1"/>
  <c r="Y309" i="1" s="1"/>
  <c r="U309" i="1"/>
  <c r="Z309" i="1" s="1"/>
  <c r="A309" i="1"/>
  <c r="X308" i="1"/>
  <c r="W308" i="1"/>
  <c r="U308" i="1"/>
  <c r="V308" i="1" s="1"/>
  <c r="A308" i="1"/>
  <c r="X307" i="1"/>
  <c r="W307" i="1"/>
  <c r="U307" i="1"/>
  <c r="A307" i="1"/>
  <c r="X306" i="1"/>
  <c r="W306" i="1"/>
  <c r="U306" i="1"/>
  <c r="V306" i="1" s="1"/>
  <c r="A306" i="1"/>
  <c r="X305" i="1"/>
  <c r="W305" i="1"/>
  <c r="U305" i="1"/>
  <c r="A305" i="1"/>
  <c r="X304" i="1"/>
  <c r="W304" i="1"/>
  <c r="U304" i="1"/>
  <c r="V304" i="1" s="1"/>
  <c r="A304" i="1"/>
  <c r="X303" i="1"/>
  <c r="W303" i="1"/>
  <c r="U303" i="1"/>
  <c r="A303" i="1"/>
  <c r="X302" i="1"/>
  <c r="W302" i="1"/>
  <c r="U302" i="1"/>
  <c r="V302" i="1" s="1"/>
  <c r="A302" i="1"/>
  <c r="X263" i="1"/>
  <c r="W263" i="1"/>
  <c r="U263" i="1"/>
  <c r="V263" i="1" s="1"/>
  <c r="A263" i="1"/>
  <c r="X300" i="1"/>
  <c r="W300" i="1"/>
  <c r="U300" i="1"/>
  <c r="V300" i="1" s="1"/>
  <c r="A300" i="1"/>
  <c r="X299" i="1"/>
  <c r="W299" i="1"/>
  <c r="U299" i="1"/>
  <c r="A299" i="1"/>
  <c r="X298" i="1"/>
  <c r="W298" i="1"/>
  <c r="U298" i="1"/>
  <c r="A298" i="1"/>
  <c r="X297" i="1"/>
  <c r="W297" i="1"/>
  <c r="U297" i="1"/>
  <c r="A297" i="1"/>
  <c r="X296" i="1"/>
  <c r="W296" i="1"/>
  <c r="U296" i="1"/>
  <c r="V296" i="1" s="1"/>
  <c r="A296" i="1"/>
  <c r="X295" i="1"/>
  <c r="W295" i="1"/>
  <c r="U295" i="1"/>
  <c r="A295" i="1"/>
  <c r="X294" i="1"/>
  <c r="W294" i="1"/>
  <c r="U294" i="1"/>
  <c r="V294" i="1" s="1"/>
  <c r="A294" i="1"/>
  <c r="X293" i="1"/>
  <c r="W293" i="1"/>
  <c r="U293" i="1"/>
  <c r="A293" i="1"/>
  <c r="X269" i="1"/>
  <c r="W269" i="1"/>
  <c r="U269" i="1"/>
  <c r="V269" i="1" s="1"/>
  <c r="A269" i="1"/>
  <c r="X291" i="1"/>
  <c r="W291" i="1"/>
  <c r="U291" i="1"/>
  <c r="A291" i="1"/>
  <c r="X290" i="1"/>
  <c r="W290" i="1"/>
  <c r="U290" i="1"/>
  <c r="A290" i="1"/>
  <c r="X289" i="1"/>
  <c r="W289" i="1"/>
  <c r="U289" i="1"/>
  <c r="A289" i="1"/>
  <c r="X288" i="1"/>
  <c r="W288" i="1"/>
  <c r="U288" i="1"/>
  <c r="V288" i="1" s="1"/>
  <c r="A288" i="1"/>
  <c r="X287" i="1"/>
  <c r="W287" i="1"/>
  <c r="U287" i="1"/>
  <c r="A287" i="1"/>
  <c r="X286" i="1"/>
  <c r="W286" i="1"/>
  <c r="U286" i="1"/>
  <c r="A286" i="1"/>
  <c r="X285" i="1"/>
  <c r="W285" i="1"/>
  <c r="U285" i="1"/>
  <c r="A285" i="1"/>
  <c r="X276" i="1"/>
  <c r="W276" i="1"/>
  <c r="U276" i="1"/>
  <c r="V276" i="1" s="1"/>
  <c r="A276" i="1"/>
  <c r="X283" i="1"/>
  <c r="W283" i="1"/>
  <c r="U283" i="1"/>
  <c r="A283" i="1"/>
  <c r="X282" i="1"/>
  <c r="W282" i="1"/>
  <c r="U282" i="1"/>
  <c r="V282" i="1" s="1"/>
  <c r="A282" i="1"/>
  <c r="X281" i="1"/>
  <c r="W281" i="1"/>
  <c r="U281" i="1"/>
  <c r="A281" i="1"/>
  <c r="X280" i="1"/>
  <c r="W280" i="1"/>
  <c r="U280" i="1"/>
  <c r="V280" i="1" s="1"/>
  <c r="A280" i="1"/>
  <c r="X279" i="1"/>
  <c r="W279" i="1"/>
  <c r="U279" i="1"/>
  <c r="A279" i="1"/>
  <c r="X278" i="1"/>
  <c r="W278" i="1"/>
  <c r="U278" i="1"/>
  <c r="A278" i="1"/>
  <c r="X277" i="1"/>
  <c r="W277" i="1"/>
  <c r="U277" i="1"/>
  <c r="A277" i="1"/>
  <c r="X284" i="1"/>
  <c r="W284" i="1"/>
  <c r="U284" i="1"/>
  <c r="V284" i="1" s="1"/>
  <c r="A284" i="1"/>
  <c r="X275" i="1"/>
  <c r="W275" i="1"/>
  <c r="U275" i="1"/>
  <c r="A275" i="1"/>
  <c r="X274" i="1"/>
  <c r="W274" i="1"/>
  <c r="U274" i="1"/>
  <c r="V274" i="1" s="1"/>
  <c r="A274" i="1"/>
  <c r="X273" i="1"/>
  <c r="W273" i="1"/>
  <c r="U273" i="1"/>
  <c r="A273" i="1"/>
  <c r="X272" i="1"/>
  <c r="W272" i="1"/>
  <c r="U272" i="1"/>
  <c r="V272" i="1" s="1"/>
  <c r="A272" i="1"/>
  <c r="X271" i="1"/>
  <c r="W271" i="1"/>
  <c r="U271" i="1"/>
  <c r="A271" i="1"/>
  <c r="X270" i="1"/>
  <c r="W270" i="1"/>
  <c r="U270" i="1"/>
  <c r="V270" i="1" s="1"/>
  <c r="A270" i="1"/>
  <c r="X292" i="1"/>
  <c r="W292" i="1"/>
  <c r="U292" i="1"/>
  <c r="A292" i="1"/>
  <c r="X268" i="1"/>
  <c r="W268" i="1"/>
  <c r="U268" i="1"/>
  <c r="V268" i="1" s="1"/>
  <c r="A268" i="1"/>
  <c r="X267" i="1"/>
  <c r="W267" i="1"/>
  <c r="U267" i="1"/>
  <c r="A267" i="1"/>
  <c r="X266" i="1"/>
  <c r="W266" i="1"/>
  <c r="U266" i="1"/>
  <c r="A266" i="1"/>
  <c r="X265" i="1"/>
  <c r="W265" i="1"/>
  <c r="U265" i="1"/>
  <c r="A265" i="1"/>
  <c r="X264" i="1"/>
  <c r="W264" i="1"/>
  <c r="U264" i="1"/>
  <c r="A264" i="1"/>
  <c r="X301" i="1"/>
  <c r="W301" i="1"/>
  <c r="U301" i="1"/>
  <c r="A301" i="1"/>
  <c r="X262" i="1"/>
  <c r="W262" i="1"/>
  <c r="U262" i="1"/>
  <c r="V262" i="1" s="1"/>
  <c r="A262" i="1"/>
  <c r="X261" i="1"/>
  <c r="W261" i="1"/>
  <c r="U261" i="1"/>
  <c r="A261" i="1"/>
  <c r="X260" i="1"/>
  <c r="W260" i="1"/>
  <c r="U260" i="1"/>
  <c r="V260" i="1" s="1"/>
  <c r="A260" i="1"/>
  <c r="X259" i="1"/>
  <c r="W259" i="1"/>
  <c r="U259" i="1"/>
  <c r="A259" i="1"/>
  <c r="X258" i="1"/>
  <c r="W258" i="1"/>
  <c r="U258" i="1"/>
  <c r="A258" i="1"/>
  <c r="X257" i="1"/>
  <c r="W257" i="1"/>
  <c r="U257" i="1"/>
  <c r="A257" i="1"/>
  <c r="X256" i="1"/>
  <c r="W256" i="1"/>
  <c r="U256" i="1"/>
  <c r="A256" i="1"/>
  <c r="X255" i="1"/>
  <c r="W255" i="1"/>
  <c r="U255" i="1"/>
  <c r="A255" i="1"/>
  <c r="X313" i="1"/>
  <c r="W313" i="1"/>
  <c r="U313" i="1"/>
  <c r="A313" i="1"/>
  <c r="X253" i="1"/>
  <c r="W253" i="1"/>
  <c r="U253" i="1"/>
  <c r="A253" i="1"/>
  <c r="X252" i="1"/>
  <c r="W252" i="1"/>
  <c r="U252" i="1"/>
  <c r="V252" i="1" s="1"/>
  <c r="A252" i="1"/>
  <c r="X251" i="1"/>
  <c r="W251" i="1"/>
  <c r="U251" i="1"/>
  <c r="A251" i="1"/>
  <c r="X250" i="1"/>
  <c r="W250" i="1"/>
  <c r="U250" i="1"/>
  <c r="V250" i="1" s="1"/>
  <c r="A250" i="1"/>
  <c r="X249" i="1"/>
  <c r="W249" i="1"/>
  <c r="U249" i="1"/>
  <c r="A249" i="1"/>
  <c r="X248" i="1"/>
  <c r="W248" i="1"/>
  <c r="U248" i="1"/>
  <c r="V248" i="1" s="1"/>
  <c r="A248" i="1"/>
  <c r="X247" i="1"/>
  <c r="W247" i="1"/>
  <c r="U247" i="1"/>
  <c r="V247" i="1" s="1"/>
  <c r="A247" i="1"/>
  <c r="X246" i="1"/>
  <c r="W246" i="1"/>
  <c r="U246" i="1"/>
  <c r="A246" i="1"/>
  <c r="X245" i="1"/>
  <c r="W245" i="1"/>
  <c r="U245" i="1"/>
  <c r="A245" i="1"/>
  <c r="X244" i="1"/>
  <c r="W244" i="1"/>
  <c r="U244" i="1"/>
  <c r="V244" i="1" s="1"/>
  <c r="A244" i="1"/>
  <c r="X243" i="1"/>
  <c r="W243" i="1"/>
  <c r="U243" i="1"/>
  <c r="A243" i="1"/>
  <c r="X242" i="1"/>
  <c r="W242" i="1"/>
  <c r="U242" i="1"/>
  <c r="A242" i="1"/>
  <c r="X241" i="1"/>
  <c r="W241" i="1"/>
  <c r="U241" i="1"/>
  <c r="A241" i="1"/>
  <c r="X319" i="1"/>
  <c r="W319" i="1"/>
  <c r="U319" i="1"/>
  <c r="V319" i="1" s="1"/>
  <c r="A319" i="1"/>
  <c r="X239" i="1"/>
  <c r="W239" i="1"/>
  <c r="U239" i="1"/>
  <c r="A239" i="1"/>
  <c r="X238" i="1"/>
  <c r="W238" i="1"/>
  <c r="V238" i="1"/>
  <c r="U238" i="1"/>
  <c r="A238" i="1"/>
  <c r="X237" i="1"/>
  <c r="W237" i="1"/>
  <c r="U237" i="1"/>
  <c r="A237" i="1"/>
  <c r="X236" i="1"/>
  <c r="W236" i="1"/>
  <c r="U236" i="1"/>
  <c r="V236" i="1" s="1"/>
  <c r="A236" i="1"/>
  <c r="X235" i="1"/>
  <c r="W235" i="1"/>
  <c r="U235" i="1"/>
  <c r="V235" i="1" s="1"/>
  <c r="A235" i="1"/>
  <c r="X234" i="1"/>
  <c r="W234" i="1"/>
  <c r="U234" i="1"/>
  <c r="A234" i="1"/>
  <c r="X233" i="1"/>
  <c r="W233" i="1"/>
  <c r="V233" i="1"/>
  <c r="U233" i="1"/>
  <c r="A233" i="1"/>
  <c r="X232" i="1"/>
  <c r="W232" i="1"/>
  <c r="U232" i="1"/>
  <c r="A232" i="1"/>
  <c r="X231" i="1"/>
  <c r="W231" i="1"/>
  <c r="U231" i="1"/>
  <c r="V231" i="1" s="1"/>
  <c r="A231" i="1"/>
  <c r="X230" i="1"/>
  <c r="W230" i="1"/>
  <c r="U230" i="1"/>
  <c r="V230" i="1" s="1"/>
  <c r="A230" i="1"/>
  <c r="X229" i="1"/>
  <c r="Y229" i="1" s="1"/>
  <c r="W229" i="1"/>
  <c r="U229" i="1"/>
  <c r="V229" i="1" s="1"/>
  <c r="A229" i="1"/>
  <c r="X228" i="1"/>
  <c r="W228" i="1"/>
  <c r="U228" i="1"/>
  <c r="V228" i="1" s="1"/>
  <c r="A228" i="1"/>
  <c r="X227" i="1"/>
  <c r="W227" i="1"/>
  <c r="U227" i="1"/>
  <c r="V227" i="1" s="1"/>
  <c r="A227" i="1"/>
  <c r="X226" i="1"/>
  <c r="W226" i="1"/>
  <c r="U226" i="1"/>
  <c r="A226" i="1"/>
  <c r="X225" i="1"/>
  <c r="W225" i="1"/>
  <c r="U225" i="1"/>
  <c r="V225" i="1" s="1"/>
  <c r="A225" i="1"/>
  <c r="X224" i="1"/>
  <c r="W224" i="1"/>
  <c r="U224" i="1"/>
  <c r="A224" i="1"/>
  <c r="X223" i="1"/>
  <c r="W223" i="1"/>
  <c r="U223" i="1"/>
  <c r="A223" i="1"/>
  <c r="X222" i="1"/>
  <c r="W222" i="1"/>
  <c r="U222" i="1"/>
  <c r="A222" i="1"/>
  <c r="X329" i="1"/>
  <c r="W329" i="1"/>
  <c r="U329" i="1"/>
  <c r="V329" i="1" s="1"/>
  <c r="A329" i="1"/>
  <c r="X220" i="1"/>
  <c r="W220" i="1"/>
  <c r="U220" i="1"/>
  <c r="V220" i="1" s="1"/>
  <c r="A220" i="1"/>
  <c r="X219" i="1"/>
  <c r="W219" i="1"/>
  <c r="U219" i="1"/>
  <c r="A219" i="1"/>
  <c r="X218" i="1"/>
  <c r="W218" i="1"/>
  <c r="U218" i="1"/>
  <c r="V218" i="1" s="1"/>
  <c r="A218" i="1"/>
  <c r="X217" i="1"/>
  <c r="W217" i="1"/>
  <c r="U217" i="1"/>
  <c r="V217" i="1" s="1"/>
  <c r="A217" i="1"/>
  <c r="X216" i="1"/>
  <c r="W216" i="1"/>
  <c r="U216" i="1"/>
  <c r="V216" i="1" s="1"/>
  <c r="A216" i="1"/>
  <c r="X215" i="1"/>
  <c r="W215" i="1"/>
  <c r="U215" i="1"/>
  <c r="V215" i="1" s="1"/>
  <c r="A215" i="1"/>
  <c r="X214" i="1"/>
  <c r="W214" i="1"/>
  <c r="U214" i="1"/>
  <c r="A214" i="1"/>
  <c r="X213" i="1"/>
  <c r="W213" i="1"/>
  <c r="U213" i="1"/>
  <c r="V213" i="1" s="1"/>
  <c r="A213" i="1"/>
  <c r="X212" i="1"/>
  <c r="W212" i="1"/>
  <c r="U212" i="1"/>
  <c r="V212" i="1" s="1"/>
  <c r="A212" i="1"/>
  <c r="X211" i="1"/>
  <c r="W211" i="1"/>
  <c r="U211" i="1"/>
  <c r="V211" i="1" s="1"/>
  <c r="A211" i="1"/>
  <c r="X210" i="1"/>
  <c r="W210" i="1"/>
  <c r="U210" i="1"/>
  <c r="A210" i="1"/>
  <c r="X209" i="1"/>
  <c r="W209" i="1"/>
  <c r="U209" i="1"/>
  <c r="A209" i="1"/>
  <c r="X208" i="1"/>
  <c r="W208" i="1"/>
  <c r="U208" i="1"/>
  <c r="V208" i="1" s="1"/>
  <c r="A208" i="1"/>
  <c r="X207" i="1"/>
  <c r="W207" i="1"/>
  <c r="U207" i="1"/>
  <c r="A207" i="1"/>
  <c r="X206" i="1"/>
  <c r="W206" i="1"/>
  <c r="U206" i="1"/>
  <c r="V206" i="1" s="1"/>
  <c r="A206" i="1"/>
  <c r="X205" i="1"/>
  <c r="W205" i="1"/>
  <c r="U205" i="1"/>
  <c r="A205" i="1"/>
  <c r="X204" i="1"/>
  <c r="W204" i="1"/>
  <c r="U204" i="1"/>
  <c r="V204" i="1" s="1"/>
  <c r="A204" i="1"/>
  <c r="X330" i="1"/>
  <c r="W330" i="1"/>
  <c r="U330" i="1"/>
  <c r="V330" i="1" s="1"/>
  <c r="A330" i="1"/>
  <c r="X202" i="1"/>
  <c r="W202" i="1"/>
  <c r="U202" i="1"/>
  <c r="A202" i="1"/>
  <c r="X201" i="1"/>
  <c r="W201" i="1"/>
  <c r="U201" i="1"/>
  <c r="A201" i="1"/>
  <c r="X200" i="1"/>
  <c r="W200" i="1"/>
  <c r="U200" i="1"/>
  <c r="A200" i="1"/>
  <c r="X199" i="1"/>
  <c r="W199" i="1"/>
  <c r="U199" i="1"/>
  <c r="V199" i="1" s="1"/>
  <c r="A199" i="1"/>
  <c r="X198" i="1"/>
  <c r="W198" i="1"/>
  <c r="U198" i="1"/>
  <c r="V198" i="1" s="1"/>
  <c r="A198" i="1"/>
  <c r="X197" i="1"/>
  <c r="Y197" i="1" s="1"/>
  <c r="W197" i="1"/>
  <c r="U197" i="1"/>
  <c r="V197" i="1" s="1"/>
  <c r="A197" i="1"/>
  <c r="X196" i="1"/>
  <c r="W196" i="1"/>
  <c r="U196" i="1"/>
  <c r="V196" i="1" s="1"/>
  <c r="A196" i="1"/>
  <c r="X195" i="1"/>
  <c r="Y195" i="1" s="1"/>
  <c r="W195" i="1"/>
  <c r="U195" i="1"/>
  <c r="V195" i="1" s="1"/>
  <c r="A195" i="1"/>
  <c r="X194" i="1"/>
  <c r="W194" i="1"/>
  <c r="U194" i="1"/>
  <c r="A194" i="1"/>
  <c r="X193" i="1"/>
  <c r="W193" i="1"/>
  <c r="U193" i="1"/>
  <c r="V193" i="1" s="1"/>
  <c r="A193" i="1"/>
  <c r="X192" i="1"/>
  <c r="W192" i="1"/>
  <c r="U192" i="1"/>
  <c r="A192" i="1"/>
  <c r="X191" i="1"/>
  <c r="W191" i="1"/>
  <c r="U191" i="1"/>
  <c r="A191" i="1"/>
  <c r="X190" i="1"/>
  <c r="W190" i="1"/>
  <c r="U190" i="1"/>
  <c r="A190" i="1"/>
  <c r="X189" i="1"/>
  <c r="W189" i="1"/>
  <c r="U189" i="1"/>
  <c r="V189" i="1" s="1"/>
  <c r="A189" i="1"/>
  <c r="X188" i="1"/>
  <c r="W188" i="1"/>
  <c r="U188" i="1"/>
  <c r="V188" i="1" s="1"/>
  <c r="A188" i="1"/>
  <c r="X187" i="1"/>
  <c r="W187" i="1"/>
  <c r="U187" i="1"/>
  <c r="A187" i="1"/>
  <c r="X186" i="1"/>
  <c r="W186" i="1"/>
  <c r="U186" i="1"/>
  <c r="V186" i="1" s="1"/>
  <c r="A186" i="1"/>
  <c r="X185" i="1"/>
  <c r="W185" i="1"/>
  <c r="U185" i="1"/>
  <c r="V185" i="1" s="1"/>
  <c r="A185" i="1"/>
  <c r="X184" i="1"/>
  <c r="W184" i="1"/>
  <c r="U184" i="1"/>
  <c r="V184" i="1" s="1"/>
  <c r="A184" i="1"/>
  <c r="X183" i="1"/>
  <c r="W183" i="1"/>
  <c r="U183" i="1"/>
  <c r="V183" i="1" s="1"/>
  <c r="A183" i="1"/>
  <c r="X182" i="1"/>
  <c r="W182" i="1"/>
  <c r="U182" i="1"/>
  <c r="A182" i="1"/>
  <c r="X181" i="1"/>
  <c r="W181" i="1"/>
  <c r="U181" i="1"/>
  <c r="V181" i="1" s="1"/>
  <c r="A181" i="1"/>
  <c r="X180" i="1"/>
  <c r="W180" i="1"/>
  <c r="U180" i="1"/>
  <c r="V180" i="1" s="1"/>
  <c r="A180" i="1"/>
  <c r="X179" i="1"/>
  <c r="W179" i="1"/>
  <c r="U179" i="1"/>
  <c r="V179" i="1" s="1"/>
  <c r="A179" i="1"/>
  <c r="X178" i="1"/>
  <c r="W178" i="1"/>
  <c r="U178" i="1"/>
  <c r="A178" i="1"/>
  <c r="X177" i="1"/>
  <c r="W177" i="1"/>
  <c r="U177" i="1"/>
  <c r="V177" i="1" s="1"/>
  <c r="A177" i="1"/>
  <c r="X176" i="1"/>
  <c r="W176" i="1"/>
  <c r="U176" i="1"/>
  <c r="A176" i="1"/>
  <c r="X175" i="1"/>
  <c r="W175" i="1"/>
  <c r="U175" i="1"/>
  <c r="A175" i="1"/>
  <c r="X174" i="1"/>
  <c r="W174" i="1"/>
  <c r="U174" i="1"/>
  <c r="V174" i="1" s="1"/>
  <c r="A174" i="1"/>
  <c r="X173" i="1"/>
  <c r="W173" i="1"/>
  <c r="U173" i="1"/>
  <c r="A173" i="1"/>
  <c r="X172" i="1"/>
  <c r="W172" i="1"/>
  <c r="U172" i="1"/>
  <c r="V172" i="1" s="1"/>
  <c r="A172" i="1"/>
  <c r="X171" i="1"/>
  <c r="W171" i="1"/>
  <c r="U171" i="1"/>
  <c r="V171" i="1" s="1"/>
  <c r="A171" i="1"/>
  <c r="X170" i="1"/>
  <c r="W170" i="1"/>
  <c r="U170" i="1"/>
  <c r="A170" i="1"/>
  <c r="X169" i="1"/>
  <c r="W169" i="1"/>
  <c r="U169" i="1"/>
  <c r="A169" i="1"/>
  <c r="X168" i="1"/>
  <c r="W168" i="1"/>
  <c r="U168" i="1"/>
  <c r="A168" i="1"/>
  <c r="X167" i="1"/>
  <c r="W167" i="1"/>
  <c r="U167" i="1"/>
  <c r="A167" i="1"/>
  <c r="X166" i="1"/>
  <c r="W166" i="1"/>
  <c r="U166" i="1"/>
  <c r="A166" i="1"/>
  <c r="X165" i="1"/>
  <c r="W165" i="1"/>
  <c r="U165" i="1"/>
  <c r="V165" i="1" s="1"/>
  <c r="A165" i="1"/>
  <c r="X164" i="1"/>
  <c r="W164" i="1"/>
  <c r="U164" i="1"/>
  <c r="A164" i="1"/>
  <c r="X163" i="1"/>
  <c r="W163" i="1"/>
  <c r="U163" i="1"/>
  <c r="V163" i="1" s="1"/>
  <c r="A163" i="1"/>
  <c r="X162" i="1"/>
  <c r="W162" i="1"/>
  <c r="U162" i="1"/>
  <c r="A162" i="1"/>
  <c r="X161" i="1"/>
  <c r="W161" i="1"/>
  <c r="U161" i="1"/>
  <c r="V161" i="1" s="1"/>
  <c r="A161" i="1"/>
  <c r="X160" i="1"/>
  <c r="W160" i="1"/>
  <c r="U160" i="1"/>
  <c r="A160" i="1"/>
  <c r="X159" i="1"/>
  <c r="W159" i="1"/>
  <c r="U159" i="1"/>
  <c r="A159" i="1"/>
  <c r="X158" i="1"/>
  <c r="W158" i="1"/>
  <c r="U158" i="1"/>
  <c r="A158" i="1"/>
  <c r="X157" i="1"/>
  <c r="W157" i="1"/>
  <c r="U157" i="1"/>
  <c r="V157" i="1" s="1"/>
  <c r="A157" i="1"/>
  <c r="X156" i="1"/>
  <c r="W156" i="1"/>
  <c r="U156" i="1"/>
  <c r="A156" i="1"/>
  <c r="X155" i="1"/>
  <c r="W155" i="1"/>
  <c r="U155" i="1"/>
  <c r="A155" i="1"/>
  <c r="X154" i="1"/>
  <c r="W154" i="1"/>
  <c r="U154" i="1"/>
  <c r="A154" i="1"/>
  <c r="X153" i="1"/>
  <c r="W153" i="1"/>
  <c r="U153" i="1"/>
  <c r="V153" i="1" s="1"/>
  <c r="A153" i="1"/>
  <c r="X152" i="1"/>
  <c r="W152" i="1"/>
  <c r="U152" i="1"/>
  <c r="A152" i="1"/>
  <c r="X151" i="1"/>
  <c r="W151" i="1"/>
  <c r="U151" i="1"/>
  <c r="V151" i="1" s="1"/>
  <c r="A151" i="1"/>
  <c r="X150" i="1"/>
  <c r="W150" i="1"/>
  <c r="U150" i="1"/>
  <c r="A150" i="1"/>
  <c r="X149" i="1"/>
  <c r="W149" i="1"/>
  <c r="U149" i="1"/>
  <c r="V149" i="1" s="1"/>
  <c r="A149" i="1"/>
  <c r="X148" i="1"/>
  <c r="W148" i="1"/>
  <c r="U148" i="1"/>
  <c r="A148" i="1"/>
  <c r="X147" i="1"/>
  <c r="W147" i="1"/>
  <c r="U147" i="1"/>
  <c r="V147" i="1" s="1"/>
  <c r="A147" i="1"/>
  <c r="X146" i="1"/>
  <c r="W146" i="1"/>
  <c r="U146" i="1"/>
  <c r="A146" i="1"/>
  <c r="X145" i="1"/>
  <c r="W145" i="1"/>
  <c r="U145" i="1"/>
  <c r="A145" i="1"/>
  <c r="X144" i="1"/>
  <c r="W144" i="1"/>
  <c r="U144" i="1"/>
  <c r="A144" i="1"/>
  <c r="X143" i="1"/>
  <c r="W143" i="1"/>
  <c r="U143" i="1"/>
  <c r="A143" i="1"/>
  <c r="X142" i="1"/>
  <c r="W142" i="1"/>
  <c r="U142" i="1"/>
  <c r="A142" i="1"/>
  <c r="X141" i="1"/>
  <c r="W141" i="1"/>
  <c r="U141" i="1"/>
  <c r="A141" i="1"/>
  <c r="X140" i="1"/>
  <c r="W140" i="1"/>
  <c r="U140" i="1"/>
  <c r="A140" i="1"/>
  <c r="X139" i="1"/>
  <c r="W139" i="1"/>
  <c r="U139" i="1"/>
  <c r="V139" i="1" s="1"/>
  <c r="A139" i="1"/>
  <c r="X138" i="1"/>
  <c r="W138" i="1"/>
  <c r="U138" i="1"/>
  <c r="A138" i="1"/>
  <c r="X137" i="1"/>
  <c r="W137" i="1"/>
  <c r="U137" i="1"/>
  <c r="A137" i="1"/>
  <c r="X136" i="1"/>
  <c r="W136" i="1"/>
  <c r="U136" i="1"/>
  <c r="A136" i="1"/>
  <c r="X135" i="1"/>
  <c r="W135" i="1"/>
  <c r="U135" i="1"/>
  <c r="A135" i="1"/>
  <c r="X134" i="1"/>
  <c r="W134" i="1"/>
  <c r="U134" i="1"/>
  <c r="A134" i="1"/>
  <c r="X133" i="1"/>
  <c r="W133" i="1"/>
  <c r="U133" i="1"/>
  <c r="V133" i="1" s="1"/>
  <c r="A133" i="1"/>
  <c r="X132" i="1"/>
  <c r="W132" i="1"/>
  <c r="U132" i="1"/>
  <c r="A132" i="1"/>
  <c r="X131" i="1"/>
  <c r="W131" i="1"/>
  <c r="U131" i="1"/>
  <c r="V131" i="1" s="1"/>
  <c r="A131" i="1"/>
  <c r="X130" i="1"/>
  <c r="W130" i="1"/>
  <c r="U130" i="1"/>
  <c r="A130" i="1"/>
  <c r="X129" i="1"/>
  <c r="W129" i="1"/>
  <c r="U129" i="1"/>
  <c r="V129" i="1" s="1"/>
  <c r="A129" i="1"/>
  <c r="X128" i="1"/>
  <c r="W128" i="1"/>
  <c r="U128" i="1"/>
  <c r="A128" i="1"/>
  <c r="X127" i="1"/>
  <c r="W127" i="1"/>
  <c r="U127" i="1"/>
  <c r="A127" i="1"/>
  <c r="X126" i="1"/>
  <c r="W126" i="1"/>
  <c r="U126" i="1"/>
  <c r="A126" i="1"/>
  <c r="X125" i="1"/>
  <c r="W125" i="1"/>
  <c r="U125" i="1"/>
  <c r="V125" i="1" s="1"/>
  <c r="A125" i="1"/>
  <c r="X124" i="1"/>
  <c r="W124" i="1"/>
  <c r="U124" i="1"/>
  <c r="A124" i="1"/>
  <c r="X123" i="1"/>
  <c r="W123" i="1"/>
  <c r="U123" i="1"/>
  <c r="A123" i="1"/>
  <c r="X122" i="1"/>
  <c r="W122" i="1"/>
  <c r="U122" i="1"/>
  <c r="A122" i="1"/>
  <c r="X121" i="1"/>
  <c r="W121" i="1"/>
  <c r="U121" i="1"/>
  <c r="V121" i="1" s="1"/>
  <c r="A121" i="1"/>
  <c r="X120" i="1"/>
  <c r="W120" i="1"/>
  <c r="U120" i="1"/>
  <c r="A120" i="1"/>
  <c r="X119" i="1"/>
  <c r="W119" i="1"/>
  <c r="U119" i="1"/>
  <c r="V119" i="1" s="1"/>
  <c r="A119" i="1"/>
  <c r="X118" i="1"/>
  <c r="W118" i="1"/>
  <c r="U118" i="1"/>
  <c r="A118" i="1"/>
  <c r="X117" i="1"/>
  <c r="W117" i="1"/>
  <c r="V117" i="1"/>
  <c r="U117" i="1"/>
  <c r="A117" i="1"/>
  <c r="X116" i="1"/>
  <c r="W116" i="1"/>
  <c r="U116" i="1"/>
  <c r="V116" i="1" s="1"/>
  <c r="A116" i="1"/>
  <c r="X115" i="1"/>
  <c r="W115" i="1"/>
  <c r="U115" i="1"/>
  <c r="V115" i="1" s="1"/>
  <c r="A115" i="1"/>
  <c r="X114" i="1"/>
  <c r="W114" i="1"/>
  <c r="U114" i="1"/>
  <c r="A114" i="1"/>
  <c r="X113" i="1"/>
  <c r="W113" i="1"/>
  <c r="U113" i="1"/>
  <c r="V113" i="1" s="1"/>
  <c r="A113" i="1"/>
  <c r="X112" i="1"/>
  <c r="W112" i="1"/>
  <c r="U112" i="1"/>
  <c r="A112" i="1"/>
  <c r="X111" i="1"/>
  <c r="W111" i="1"/>
  <c r="U111" i="1"/>
  <c r="A111" i="1"/>
  <c r="X110" i="1"/>
  <c r="W110" i="1"/>
  <c r="U110" i="1"/>
  <c r="V110" i="1" s="1"/>
  <c r="A110" i="1"/>
  <c r="X109" i="1"/>
  <c r="W109" i="1"/>
  <c r="U109" i="1"/>
  <c r="A109" i="1"/>
  <c r="X108" i="1"/>
  <c r="W108" i="1"/>
  <c r="U108" i="1"/>
  <c r="V108" i="1" s="1"/>
  <c r="A108" i="1"/>
  <c r="X107" i="1"/>
  <c r="W107" i="1"/>
  <c r="U107" i="1"/>
  <c r="V107" i="1" s="1"/>
  <c r="A107" i="1"/>
  <c r="X106" i="1"/>
  <c r="W106" i="1"/>
  <c r="U106" i="1"/>
  <c r="A106" i="1"/>
  <c r="X105" i="1"/>
  <c r="W105" i="1"/>
  <c r="U105" i="1"/>
  <c r="A105" i="1"/>
  <c r="X104" i="1"/>
  <c r="W104" i="1"/>
  <c r="U104" i="1"/>
  <c r="A104" i="1"/>
  <c r="X103" i="1"/>
  <c r="W103" i="1"/>
  <c r="U103" i="1"/>
  <c r="A103" i="1"/>
  <c r="X102" i="1"/>
  <c r="W102" i="1"/>
  <c r="U102" i="1"/>
  <c r="V102" i="1" s="1"/>
  <c r="A102" i="1"/>
  <c r="X101" i="1"/>
  <c r="W101" i="1"/>
  <c r="U101" i="1"/>
  <c r="V101" i="1" s="1"/>
  <c r="A101" i="1"/>
  <c r="X100" i="1"/>
  <c r="W100" i="1"/>
  <c r="U100" i="1"/>
  <c r="A100" i="1"/>
  <c r="X99" i="1"/>
  <c r="W99" i="1"/>
  <c r="U99" i="1"/>
  <c r="V99" i="1" s="1"/>
  <c r="A99" i="1"/>
  <c r="X98" i="1"/>
  <c r="W98" i="1"/>
  <c r="U98" i="1"/>
  <c r="V98" i="1" s="1"/>
  <c r="A98" i="1"/>
  <c r="X97" i="1"/>
  <c r="W97" i="1"/>
  <c r="U97" i="1"/>
  <c r="V97" i="1" s="1"/>
  <c r="A97" i="1"/>
  <c r="X96" i="1"/>
  <c r="W96" i="1"/>
  <c r="U96" i="1"/>
  <c r="A96" i="1"/>
  <c r="X95" i="1"/>
  <c r="W95" i="1"/>
  <c r="U95" i="1"/>
  <c r="A95" i="1"/>
  <c r="X94" i="1"/>
  <c r="W94" i="1"/>
  <c r="U94" i="1"/>
  <c r="A94" i="1"/>
  <c r="X93" i="1"/>
  <c r="W93" i="1"/>
  <c r="U93" i="1"/>
  <c r="A93" i="1"/>
  <c r="X92" i="1"/>
  <c r="W92" i="1"/>
  <c r="U92" i="1"/>
  <c r="A92" i="1"/>
  <c r="X91" i="1"/>
  <c r="W91" i="1"/>
  <c r="U91" i="1"/>
  <c r="A91" i="1"/>
  <c r="X90" i="1"/>
  <c r="W90" i="1"/>
  <c r="U90" i="1"/>
  <c r="A90" i="1"/>
  <c r="X89" i="1"/>
  <c r="W89" i="1"/>
  <c r="U89" i="1"/>
  <c r="V89" i="1" s="1"/>
  <c r="A89" i="1"/>
  <c r="X88" i="1"/>
  <c r="W88" i="1"/>
  <c r="U88" i="1"/>
  <c r="V88" i="1" s="1"/>
  <c r="A88" i="1"/>
  <c r="X87" i="1"/>
  <c r="W87" i="1"/>
  <c r="U87" i="1"/>
  <c r="A87" i="1"/>
  <c r="X86" i="1"/>
  <c r="W86" i="1"/>
  <c r="U86" i="1"/>
  <c r="A86" i="1"/>
  <c r="X85" i="1"/>
  <c r="W85" i="1"/>
  <c r="U85" i="1"/>
  <c r="V85" i="1" s="1"/>
  <c r="A85" i="1"/>
  <c r="X84" i="1"/>
  <c r="W84" i="1"/>
  <c r="U84" i="1"/>
  <c r="V84" i="1" s="1"/>
  <c r="A84" i="1"/>
  <c r="X83" i="1"/>
  <c r="W83" i="1"/>
  <c r="U83" i="1"/>
  <c r="V83" i="1" s="1"/>
  <c r="A83" i="1"/>
  <c r="X82" i="1"/>
  <c r="W82" i="1"/>
  <c r="U82" i="1"/>
  <c r="A82" i="1"/>
  <c r="X81" i="1"/>
  <c r="W81" i="1"/>
  <c r="U81" i="1"/>
  <c r="A81" i="1"/>
  <c r="X80" i="1"/>
  <c r="W80" i="1"/>
  <c r="U80" i="1"/>
  <c r="A80" i="1"/>
  <c r="X79" i="1"/>
  <c r="W79" i="1"/>
  <c r="U79" i="1"/>
  <c r="A79" i="1"/>
  <c r="X78" i="1"/>
  <c r="W78" i="1"/>
  <c r="U78" i="1"/>
  <c r="V78" i="1" s="1"/>
  <c r="A78" i="1"/>
  <c r="X77" i="1"/>
  <c r="W77" i="1"/>
  <c r="U77" i="1"/>
  <c r="A77" i="1"/>
  <c r="X76" i="1"/>
  <c r="W76" i="1"/>
  <c r="U76" i="1"/>
  <c r="V76" i="1" s="1"/>
  <c r="A76" i="1"/>
  <c r="X75" i="1"/>
  <c r="W75" i="1"/>
  <c r="U75" i="1"/>
  <c r="A75" i="1"/>
  <c r="X74" i="1"/>
  <c r="W74" i="1"/>
  <c r="U74" i="1"/>
  <c r="A74" i="1"/>
  <c r="X73" i="1"/>
  <c r="W73" i="1"/>
  <c r="U73" i="1"/>
  <c r="A73" i="1"/>
  <c r="X72" i="1"/>
  <c r="W72" i="1"/>
  <c r="U72" i="1"/>
  <c r="A72" i="1"/>
  <c r="X71" i="1"/>
  <c r="W71" i="1"/>
  <c r="U71" i="1"/>
  <c r="A71" i="1"/>
  <c r="X70" i="1"/>
  <c r="W70" i="1"/>
  <c r="U70" i="1"/>
  <c r="V70" i="1" s="1"/>
  <c r="A70" i="1"/>
  <c r="X69" i="1"/>
  <c r="W69" i="1"/>
  <c r="U69" i="1"/>
  <c r="V69" i="1" s="1"/>
  <c r="A69" i="1"/>
  <c r="X68" i="1"/>
  <c r="W68" i="1"/>
  <c r="U68" i="1"/>
  <c r="A68" i="1"/>
  <c r="X67" i="1"/>
  <c r="W67" i="1"/>
  <c r="U67" i="1"/>
  <c r="V67" i="1" s="1"/>
  <c r="A67" i="1"/>
  <c r="X66" i="1"/>
  <c r="W66" i="1"/>
  <c r="U66" i="1"/>
  <c r="V66" i="1" s="1"/>
  <c r="A66" i="1"/>
  <c r="X65" i="1"/>
  <c r="W65" i="1"/>
  <c r="U65" i="1"/>
  <c r="V65" i="1" s="1"/>
  <c r="A65" i="1"/>
  <c r="X64" i="1"/>
  <c r="W64" i="1"/>
  <c r="U64" i="1"/>
  <c r="A64" i="1"/>
  <c r="X63" i="1"/>
  <c r="W63" i="1"/>
  <c r="U63" i="1"/>
  <c r="A63" i="1"/>
  <c r="X62" i="1"/>
  <c r="W62" i="1"/>
  <c r="U62" i="1"/>
  <c r="A62" i="1"/>
  <c r="X61" i="1"/>
  <c r="W61" i="1"/>
  <c r="U61" i="1"/>
  <c r="V61" i="1" s="1"/>
  <c r="A61" i="1"/>
  <c r="X60" i="1"/>
  <c r="W60" i="1"/>
  <c r="U60" i="1"/>
  <c r="A60" i="1"/>
  <c r="X59" i="1"/>
  <c r="W59" i="1"/>
  <c r="U59" i="1"/>
  <c r="A59" i="1"/>
  <c r="X58" i="1"/>
  <c r="W58" i="1"/>
  <c r="U58" i="1"/>
  <c r="A58" i="1"/>
  <c r="X57" i="1"/>
  <c r="W57" i="1"/>
  <c r="U57" i="1"/>
  <c r="V57" i="1" s="1"/>
  <c r="A57" i="1"/>
  <c r="X56" i="1"/>
  <c r="W56" i="1"/>
  <c r="U56" i="1"/>
  <c r="A56" i="1"/>
  <c r="X55" i="1"/>
  <c r="W55" i="1"/>
  <c r="U55" i="1"/>
  <c r="A55" i="1"/>
  <c r="X54" i="1"/>
  <c r="W54" i="1"/>
  <c r="U54" i="1"/>
  <c r="V54" i="1" s="1"/>
  <c r="A54" i="1"/>
  <c r="X53" i="1"/>
  <c r="W53" i="1"/>
  <c r="V53" i="1"/>
  <c r="U53" i="1"/>
  <c r="A53" i="1"/>
  <c r="X52" i="1"/>
  <c r="W52" i="1"/>
  <c r="U52" i="1"/>
  <c r="V52" i="1" s="1"/>
  <c r="A52" i="1"/>
  <c r="X51" i="1"/>
  <c r="W51" i="1"/>
  <c r="U51" i="1"/>
  <c r="V51" i="1" s="1"/>
  <c r="A51" i="1"/>
  <c r="X50" i="1"/>
  <c r="W50" i="1"/>
  <c r="U50" i="1"/>
  <c r="A50" i="1"/>
  <c r="X49" i="1"/>
  <c r="W49" i="1"/>
  <c r="U49" i="1"/>
  <c r="A49" i="1"/>
  <c r="X48" i="1"/>
  <c r="W48" i="1"/>
  <c r="U48" i="1"/>
  <c r="A48" i="1"/>
  <c r="X47" i="1"/>
  <c r="W47" i="1"/>
  <c r="U47" i="1"/>
  <c r="A47" i="1"/>
  <c r="X46" i="1"/>
  <c r="W46" i="1"/>
  <c r="U46" i="1"/>
  <c r="V46" i="1" s="1"/>
  <c r="A46" i="1"/>
  <c r="X45" i="1"/>
  <c r="W45" i="1"/>
  <c r="U45" i="1"/>
  <c r="A45" i="1"/>
  <c r="X44" i="1"/>
  <c r="W44" i="1"/>
  <c r="U44" i="1"/>
  <c r="A44" i="1"/>
  <c r="X43" i="1"/>
  <c r="W43" i="1"/>
  <c r="U43" i="1"/>
  <c r="A43" i="1"/>
  <c r="X42" i="1"/>
  <c r="W42" i="1"/>
  <c r="U42" i="1"/>
  <c r="V42" i="1" s="1"/>
  <c r="A42" i="1"/>
  <c r="X41" i="1"/>
  <c r="W41" i="1"/>
  <c r="U41" i="1"/>
  <c r="V41" i="1" s="1"/>
  <c r="A41" i="1"/>
  <c r="X40" i="1"/>
  <c r="W40" i="1"/>
  <c r="U40" i="1"/>
  <c r="A40" i="1"/>
  <c r="X39" i="1"/>
  <c r="W39" i="1"/>
  <c r="U39" i="1"/>
  <c r="A39" i="1"/>
  <c r="X38" i="1"/>
  <c r="W38" i="1"/>
  <c r="V38" i="1"/>
  <c r="U38" i="1"/>
  <c r="A38" i="1"/>
  <c r="X37" i="1"/>
  <c r="W37" i="1"/>
  <c r="U37" i="1"/>
  <c r="A37" i="1"/>
  <c r="X36" i="1"/>
  <c r="W36" i="1"/>
  <c r="U36" i="1"/>
  <c r="A36" i="1"/>
  <c r="X35" i="1"/>
  <c r="W35" i="1"/>
  <c r="U35" i="1"/>
  <c r="A35" i="1"/>
  <c r="X34" i="1"/>
  <c r="W34" i="1"/>
  <c r="U34" i="1"/>
  <c r="V34" i="1" s="1"/>
  <c r="A34" i="1"/>
  <c r="X33" i="1"/>
  <c r="W33" i="1"/>
  <c r="U33" i="1"/>
  <c r="V33" i="1" s="1"/>
  <c r="A33" i="1"/>
  <c r="X32" i="1"/>
  <c r="W32" i="1"/>
  <c r="U32" i="1"/>
  <c r="A32" i="1"/>
  <c r="X31" i="1"/>
  <c r="W31" i="1"/>
  <c r="U31" i="1"/>
  <c r="A31" i="1"/>
  <c r="X30" i="1"/>
  <c r="Y30" i="1" s="1"/>
  <c r="W30" i="1"/>
  <c r="U30" i="1"/>
  <c r="A30" i="1"/>
  <c r="X29" i="1"/>
  <c r="W29" i="1"/>
  <c r="U29" i="1"/>
  <c r="A29" i="1"/>
  <c r="X28" i="1"/>
  <c r="W28" i="1"/>
  <c r="U28" i="1"/>
  <c r="A28" i="1"/>
  <c r="X27" i="1"/>
  <c r="W27" i="1"/>
  <c r="U27" i="1"/>
  <c r="A27" i="1"/>
  <c r="X26" i="1"/>
  <c r="W26" i="1"/>
  <c r="U26" i="1"/>
  <c r="A26" i="1"/>
  <c r="X25" i="1"/>
  <c r="W25" i="1"/>
  <c r="U25" i="1"/>
  <c r="V25" i="1" s="1"/>
  <c r="A25" i="1"/>
  <c r="X24" i="1"/>
  <c r="W24" i="1"/>
  <c r="U24" i="1"/>
  <c r="A24" i="1"/>
  <c r="X23" i="1"/>
  <c r="W23" i="1"/>
  <c r="U23" i="1"/>
  <c r="A23" i="1"/>
  <c r="X22" i="1"/>
  <c r="W22" i="1"/>
  <c r="U22" i="1"/>
  <c r="V22" i="1" s="1"/>
  <c r="A22" i="1"/>
  <c r="X21" i="1"/>
  <c r="W21" i="1"/>
  <c r="U21" i="1"/>
  <c r="A21" i="1"/>
  <c r="X20" i="1"/>
  <c r="W20" i="1"/>
  <c r="U20" i="1"/>
  <c r="A20" i="1"/>
  <c r="X19" i="1"/>
  <c r="W19" i="1"/>
  <c r="U19" i="1"/>
  <c r="V19" i="1" s="1"/>
  <c r="A19" i="1"/>
  <c r="X18" i="1"/>
  <c r="W18" i="1"/>
  <c r="U18" i="1"/>
  <c r="V18" i="1" s="1"/>
  <c r="A18" i="1"/>
  <c r="X17" i="1"/>
  <c r="W17" i="1"/>
  <c r="U17" i="1"/>
  <c r="V17" i="1" s="1"/>
  <c r="A17" i="1"/>
  <c r="X16" i="1"/>
  <c r="W16" i="1"/>
  <c r="U16" i="1"/>
  <c r="A16" i="1"/>
  <c r="X15" i="1"/>
  <c r="W15" i="1"/>
  <c r="U15" i="1"/>
  <c r="A15" i="1"/>
  <c r="X14" i="1"/>
  <c r="W14" i="1"/>
  <c r="U14" i="1"/>
  <c r="A14" i="1"/>
  <c r="X13" i="1"/>
  <c r="W13" i="1"/>
  <c r="U13" i="1"/>
  <c r="A13" i="1"/>
  <c r="X12" i="1"/>
  <c r="W12" i="1"/>
  <c r="U12" i="1"/>
  <c r="A12" i="1"/>
  <c r="X11" i="1"/>
  <c r="W11" i="1"/>
  <c r="U11" i="1"/>
  <c r="A11" i="1"/>
  <c r="X10" i="1"/>
  <c r="Y10" i="1" s="1"/>
  <c r="W10" i="1"/>
  <c r="U10" i="1"/>
  <c r="V10" i="1" s="1"/>
  <c r="A10" i="1"/>
  <c r="X9" i="1"/>
  <c r="W9" i="1"/>
  <c r="U9" i="1"/>
  <c r="V9" i="1" s="1"/>
  <c r="A9" i="1"/>
  <c r="X8" i="1"/>
  <c r="W8" i="1"/>
  <c r="U8" i="1"/>
  <c r="A8" i="1"/>
  <c r="X7" i="1"/>
  <c r="W7" i="1"/>
  <c r="U7" i="1"/>
  <c r="A7" i="1"/>
  <c r="X6" i="1"/>
  <c r="W6" i="1"/>
  <c r="U6" i="1"/>
  <c r="A6" i="1"/>
  <c r="X5" i="1"/>
  <c r="W5" i="1"/>
  <c r="U5" i="1"/>
  <c r="V5" i="1" s="1"/>
  <c r="A5" i="1"/>
  <c r="X4" i="1"/>
  <c r="W4" i="1"/>
  <c r="U4" i="1"/>
  <c r="A4" i="1"/>
  <c r="X3" i="1"/>
  <c r="W3" i="1"/>
  <c r="U3" i="1"/>
  <c r="A3" i="1"/>
  <c r="X2" i="1"/>
  <c r="W2" i="1"/>
  <c r="U2" i="1"/>
  <c r="A2" i="1"/>
  <c r="Z239" i="1" l="1"/>
  <c r="V253" i="1"/>
  <c r="Z253" i="1"/>
  <c r="V275" i="1"/>
  <c r="Z40" i="1"/>
  <c r="Z48" i="1"/>
  <c r="V241" i="1"/>
  <c r="V245" i="1"/>
  <c r="V259" i="1"/>
  <c r="V301" i="1"/>
  <c r="V267" i="1"/>
  <c r="V277" i="1"/>
  <c r="V281" i="1"/>
  <c r="Z281" i="1"/>
  <c r="V293" i="1"/>
  <c r="V307" i="1"/>
  <c r="V321" i="1"/>
  <c r="Z321" i="1"/>
  <c r="Z114" i="1"/>
  <c r="Z128" i="1"/>
  <c r="V132" i="1"/>
  <c r="V142" i="1"/>
  <c r="Z162" i="1"/>
  <c r="V164" i="1"/>
  <c r="Z202" i="1"/>
  <c r="Z210" i="1"/>
  <c r="Z27" i="1"/>
  <c r="Z44" i="1"/>
  <c r="V243" i="1"/>
  <c r="V249" i="1"/>
  <c r="V257" i="1"/>
  <c r="Z257" i="1"/>
  <c r="V261" i="1"/>
  <c r="V265" i="1"/>
  <c r="V292" i="1"/>
  <c r="V273" i="1"/>
  <c r="V279" i="1"/>
  <c r="V289" i="1"/>
  <c r="V295" i="1"/>
  <c r="V299" i="1"/>
  <c r="Z299" i="1"/>
  <c r="V305" i="1"/>
  <c r="V254" i="1"/>
  <c r="V323" i="1"/>
  <c r="Z60" i="1"/>
  <c r="V317" i="1"/>
  <c r="V325" i="1"/>
  <c r="Z325" i="1"/>
  <c r="Z58" i="1"/>
  <c r="Z68" i="1"/>
  <c r="Z82" i="1"/>
  <c r="V120" i="1"/>
  <c r="Z126" i="1"/>
  <c r="V140" i="1"/>
  <c r="Z140" i="1"/>
  <c r="V148" i="1"/>
  <c r="V152" i="1"/>
  <c r="Z168" i="1"/>
  <c r="Z59" i="1"/>
  <c r="Z109" i="1"/>
  <c r="Z117" i="1"/>
  <c r="V285" i="1"/>
  <c r="V291" i="1"/>
  <c r="V297" i="1"/>
  <c r="Z303" i="1"/>
  <c r="V311" i="1"/>
  <c r="V327" i="1"/>
  <c r="Z64" i="1"/>
  <c r="Z72" i="1"/>
  <c r="Z80" i="1"/>
  <c r="V134" i="1"/>
  <c r="V166" i="1"/>
  <c r="Z166" i="1"/>
  <c r="Z170" i="1"/>
  <c r="Z322" i="1"/>
  <c r="Z123" i="1"/>
  <c r="Z137" i="1"/>
  <c r="Z201" i="1"/>
  <c r="Z205" i="1"/>
  <c r="Z30" i="1"/>
  <c r="Y150" i="1"/>
  <c r="Z150" i="1" s="1"/>
  <c r="Y152" i="1"/>
  <c r="Z152" i="1" s="1"/>
  <c r="Z229" i="1"/>
  <c r="Z197" i="1"/>
  <c r="Z165" i="1"/>
  <c r="Z157" i="1"/>
  <c r="Z133" i="1"/>
  <c r="Z5" i="1"/>
  <c r="Y74" i="1"/>
  <c r="Z74" i="1" s="1"/>
  <c r="Y88" i="1"/>
  <c r="Z228" i="1"/>
  <c r="Z172" i="1"/>
  <c r="Z116" i="1"/>
  <c r="Z308" i="1"/>
  <c r="Y76" i="1"/>
  <c r="Z76" i="1" s="1"/>
  <c r="Z195" i="1"/>
  <c r="Z179" i="1"/>
  <c r="Z131" i="1"/>
  <c r="Z107" i="1"/>
  <c r="Z99" i="1"/>
  <c r="Y113" i="1"/>
  <c r="V169" i="1"/>
  <c r="Z250" i="1"/>
  <c r="Z186" i="1"/>
  <c r="Z10" i="1"/>
  <c r="Z217" i="1"/>
  <c r="Z193" i="1"/>
  <c r="Z185" i="1"/>
  <c r="Z113" i="1"/>
  <c r="Z97" i="1"/>
  <c r="Z89" i="1"/>
  <c r="Z65" i="1"/>
  <c r="Z17" i="1"/>
  <c r="Z9" i="1"/>
  <c r="Y86" i="1"/>
  <c r="Z86" i="1" s="1"/>
  <c r="Z88" i="1"/>
  <c r="Z328" i="1"/>
  <c r="Z320" i="1"/>
  <c r="Z312" i="1"/>
  <c r="Z280" i="1"/>
  <c r="Z272" i="1"/>
  <c r="Y261" i="1"/>
  <c r="Z261" i="1" s="1"/>
  <c r="Y43" i="1"/>
  <c r="Z43" i="1" s="1"/>
  <c r="Y171" i="1"/>
  <c r="Z171" i="1" s="1"/>
  <c r="Y67" i="1"/>
  <c r="Z67" i="1" s="1"/>
  <c r="Y69" i="1"/>
  <c r="Z69" i="1" s="1"/>
  <c r="Y81" i="1"/>
  <c r="Z81" i="1" s="1"/>
  <c r="Y101" i="1"/>
  <c r="Z101" i="1" s="1"/>
  <c r="Y177" i="1"/>
  <c r="Z177" i="1" s="1"/>
  <c r="Y273" i="1"/>
  <c r="Z273" i="1" s="1"/>
  <c r="Y221" i="1"/>
  <c r="Z221" i="1" s="1"/>
  <c r="Y209" i="1"/>
  <c r="Z209" i="1" s="1"/>
  <c r="Y131" i="1"/>
  <c r="V221" i="1"/>
  <c r="Y40" i="1"/>
  <c r="Y57" i="1"/>
  <c r="Z57" i="1" s="1"/>
  <c r="Y106" i="1"/>
  <c r="Z106" i="1" s="1"/>
  <c r="Y108" i="1"/>
  <c r="Z108" i="1" s="1"/>
  <c r="Y145" i="1"/>
  <c r="Z145" i="1" s="1"/>
  <c r="Y165" i="1"/>
  <c r="Y286" i="1"/>
  <c r="Z286" i="1" s="1"/>
  <c r="Y133" i="1"/>
  <c r="Y274" i="1"/>
  <c r="Z274" i="1" s="1"/>
  <c r="Y27" i="1"/>
  <c r="Y33" i="1"/>
  <c r="Z33" i="1" s="1"/>
  <c r="Y71" i="1"/>
  <c r="Z71" i="1" s="1"/>
  <c r="Y75" i="1"/>
  <c r="Z75" i="1" s="1"/>
  <c r="V105" i="1"/>
  <c r="Y118" i="1"/>
  <c r="Z118" i="1" s="1"/>
  <c r="Y120" i="1"/>
  <c r="Z120" i="1" s="1"/>
  <c r="Y266" i="1"/>
  <c r="Z266" i="1" s="1"/>
  <c r="Y139" i="1"/>
  <c r="Z139" i="1" s="1"/>
  <c r="Y170" i="1"/>
  <c r="Y105" i="1"/>
  <c r="Z105" i="1" s="1"/>
  <c r="Y109" i="1"/>
  <c r="Y235" i="1"/>
  <c r="Z235" i="1" s="1"/>
  <c r="Y241" i="1"/>
  <c r="Z241" i="1" s="1"/>
  <c r="Y277" i="1"/>
  <c r="Z277" i="1" s="1"/>
  <c r="Y293" i="1"/>
  <c r="Z293" i="1" s="1"/>
  <c r="Y318" i="1"/>
  <c r="Z318" i="1" s="1"/>
  <c r="Y214" i="1"/>
  <c r="Z214" i="1" s="1"/>
  <c r="Y216" i="1"/>
  <c r="Z216" i="1" s="1"/>
  <c r="Y16" i="1"/>
  <c r="Z16" i="1" s="1"/>
  <c r="Y49" i="1"/>
  <c r="Z49" i="1" s="1"/>
  <c r="Y201" i="1"/>
  <c r="Y205" i="1"/>
  <c r="Y3" i="1"/>
  <c r="Z3" i="1" s="1"/>
  <c r="Y20" i="1"/>
  <c r="Z20" i="1" s="1"/>
  <c r="Y35" i="1"/>
  <c r="Z35" i="1" s="1"/>
  <c r="Y46" i="1"/>
  <c r="Z46" i="1" s="1"/>
  <c r="Y50" i="1"/>
  <c r="Z50" i="1" s="1"/>
  <c r="Y73" i="1"/>
  <c r="Z73" i="1" s="1"/>
  <c r="Y77" i="1"/>
  <c r="Z77" i="1" s="1"/>
  <c r="Y202" i="1"/>
  <c r="Y227" i="1"/>
  <c r="Z227" i="1" s="1"/>
  <c r="Y13" i="1"/>
  <c r="Z13" i="1" s="1"/>
  <c r="Y32" i="1"/>
  <c r="Z32" i="1" s="1"/>
  <c r="Y45" i="1"/>
  <c r="Z45" i="1" s="1"/>
  <c r="Y54" i="1"/>
  <c r="Z54" i="1" s="1"/>
  <c r="Y56" i="1"/>
  <c r="Z56" i="1" s="1"/>
  <c r="Y58" i="1"/>
  <c r="Y138" i="1"/>
  <c r="Z138" i="1" s="1"/>
  <c r="Y140" i="1"/>
  <c r="Y163" i="1"/>
  <c r="Z163" i="1" s="1"/>
  <c r="V201" i="1"/>
  <c r="Y233" i="1"/>
  <c r="Z233" i="1" s="1"/>
  <c r="Y237" i="1"/>
  <c r="Z237" i="1" s="1"/>
  <c r="Y246" i="1"/>
  <c r="Z246" i="1" s="1"/>
  <c r="Y248" i="1"/>
  <c r="Z248" i="1" s="1"/>
  <c r="Y267" i="1"/>
  <c r="Z267" i="1" s="1"/>
  <c r="Y317" i="1"/>
  <c r="Z317" i="1" s="1"/>
  <c r="Y321" i="1"/>
  <c r="Y6" i="1"/>
  <c r="Z6" i="1" s="1"/>
  <c r="Y36" i="1"/>
  <c r="Z36" i="1" s="1"/>
  <c r="Y85" i="1"/>
  <c r="Z85" i="1" s="1"/>
  <c r="Y89" i="1"/>
  <c r="Y99" i="1"/>
  <c r="V137" i="1"/>
  <c r="Y169" i="1"/>
  <c r="Z169" i="1" s="1"/>
  <c r="Y173" i="1"/>
  <c r="Z173" i="1" s="1"/>
  <c r="Y182" i="1"/>
  <c r="Z182" i="1" s="1"/>
  <c r="Y184" i="1"/>
  <c r="Z184" i="1" s="1"/>
  <c r="Y330" i="1"/>
  <c r="Z330" i="1" s="1"/>
  <c r="Y278" i="1"/>
  <c r="Z278" i="1" s="1"/>
  <c r="Y280" i="1"/>
  <c r="Y306" i="1"/>
  <c r="Z306" i="1" s="1"/>
  <c r="Y137" i="1"/>
  <c r="Y141" i="1"/>
  <c r="Z141" i="1" s="1"/>
  <c r="Y299" i="1"/>
  <c r="Y263" i="1"/>
  <c r="Z263" i="1" s="1"/>
  <c r="Y18" i="1"/>
  <c r="Z18" i="1" s="1"/>
  <c r="Y42" i="1"/>
  <c r="Z42" i="1" s="1"/>
  <c r="Y44" i="1"/>
  <c r="Y82" i="1"/>
  <c r="Y107" i="1"/>
  <c r="Y234" i="1"/>
  <c r="Z234" i="1" s="1"/>
  <c r="Y259" i="1"/>
  <c r="Z259" i="1" s="1"/>
  <c r="Y305" i="1"/>
  <c r="Z305" i="1" s="1"/>
  <c r="V36" i="1"/>
  <c r="V112" i="1"/>
  <c r="V127" i="1"/>
  <c r="V159" i="1"/>
  <c r="V3" i="1"/>
  <c r="Y8" i="1"/>
  <c r="Z8" i="1" s="1"/>
  <c r="V12" i="1"/>
  <c r="V14" i="1"/>
  <c r="V16" i="1"/>
  <c r="Y17" i="1"/>
  <c r="V23" i="1"/>
  <c r="V27" i="1"/>
  <c r="V29" i="1"/>
  <c r="V40" i="1"/>
  <c r="V49" i="1"/>
  <c r="V58" i="1"/>
  <c r="V60" i="1"/>
  <c r="V71" i="1"/>
  <c r="Y78" i="1"/>
  <c r="Z78" i="1" s="1"/>
  <c r="V82" i="1"/>
  <c r="Y117" i="1"/>
  <c r="Y121" i="1"/>
  <c r="Z121" i="1" s="1"/>
  <c r="Y149" i="1"/>
  <c r="Z149" i="1" s="1"/>
  <c r="Y153" i="1"/>
  <c r="Z153" i="1" s="1"/>
  <c r="Y181" i="1"/>
  <c r="Z181" i="1" s="1"/>
  <c r="Y185" i="1"/>
  <c r="Y213" i="1"/>
  <c r="Z213" i="1" s="1"/>
  <c r="Y217" i="1"/>
  <c r="Y245" i="1"/>
  <c r="Z245" i="1" s="1"/>
  <c r="Y249" i="1"/>
  <c r="Z249" i="1" s="1"/>
  <c r="Y19" i="1"/>
  <c r="Z19" i="1" s="1"/>
  <c r="Y21" i="1"/>
  <c r="Z21" i="1" s="1"/>
  <c r="Y29" i="1"/>
  <c r="Z29" i="1" s="1"/>
  <c r="V31" i="1"/>
  <c r="Y38" i="1"/>
  <c r="Z38" i="1" s="1"/>
  <c r="Y47" i="1"/>
  <c r="Z47" i="1" s="1"/>
  <c r="V62" i="1"/>
  <c r="V64" i="1"/>
  <c r="V73" i="1"/>
  <c r="V75" i="1"/>
  <c r="V77" i="1"/>
  <c r="V86" i="1"/>
  <c r="V90" i="1"/>
  <c r="V92" i="1"/>
  <c r="V103" i="1"/>
  <c r="V135" i="1"/>
  <c r="V167" i="1"/>
  <c r="V283" i="1"/>
  <c r="V298" i="1"/>
  <c r="V315" i="1"/>
  <c r="V203" i="1"/>
  <c r="V154" i="1"/>
  <c r="V182" i="1"/>
  <c r="V246" i="1"/>
  <c r="V287" i="1"/>
  <c r="V240" i="1"/>
  <c r="Y9" i="1"/>
  <c r="V20" i="1"/>
  <c r="Y31" i="1"/>
  <c r="Z31" i="1" s="1"/>
  <c r="V35" i="1"/>
  <c r="V37" i="1"/>
  <c r="V48" i="1"/>
  <c r="V55" i="1"/>
  <c r="V81" i="1"/>
  <c r="Y90" i="1"/>
  <c r="Z90" i="1" s="1"/>
  <c r="V100" i="1"/>
  <c r="Y103" i="1"/>
  <c r="Z103" i="1" s="1"/>
  <c r="V111" i="1"/>
  <c r="Y114" i="1"/>
  <c r="V126" i="1"/>
  <c r="V128" i="1"/>
  <c r="V130" i="1"/>
  <c r="V143" i="1"/>
  <c r="Y146" i="1"/>
  <c r="Z146" i="1" s="1"/>
  <c r="V158" i="1"/>
  <c r="V160" i="1"/>
  <c r="V162" i="1"/>
  <c r="V175" i="1"/>
  <c r="Y178" i="1"/>
  <c r="Z178" i="1" s="1"/>
  <c r="V190" i="1"/>
  <c r="V192" i="1"/>
  <c r="V194" i="1"/>
  <c r="V207" i="1"/>
  <c r="Y210" i="1"/>
  <c r="V222" i="1"/>
  <c r="V224" i="1"/>
  <c r="V226" i="1"/>
  <c r="V239" i="1"/>
  <c r="Y242" i="1"/>
  <c r="Z242" i="1" s="1"/>
  <c r="V313" i="1"/>
  <c r="V256" i="1"/>
  <c r="V258" i="1"/>
  <c r="Y281" i="1"/>
  <c r="Y254" i="1"/>
  <c r="Z254" i="1" s="1"/>
  <c r="V118" i="1"/>
  <c r="V214" i="1"/>
  <c r="V2" i="1"/>
  <c r="V11" i="1"/>
  <c r="V13" i="1"/>
  <c r="V15" i="1"/>
  <c r="V24" i="1"/>
  <c r="V26" i="1"/>
  <c r="V28" i="1"/>
  <c r="V30" i="1"/>
  <c r="V39" i="1"/>
  <c r="Y53" i="1"/>
  <c r="Z53" i="1" s="1"/>
  <c r="V59" i="1"/>
  <c r="V72" i="1"/>
  <c r="V145" i="1"/>
  <c r="V209" i="1"/>
  <c r="Y292" i="1"/>
  <c r="Z292" i="1" s="1"/>
  <c r="V271" i="1"/>
  <c r="V278" i="1"/>
  <c r="V310" i="1"/>
  <c r="V47" i="1"/>
  <c r="V176" i="1"/>
  <c r="V191" i="1"/>
  <c r="V223" i="1"/>
  <c r="V255" i="1"/>
  <c r="V7" i="1"/>
  <c r="V44" i="1"/>
  <c r="V68" i="1"/>
  <c r="V79" i="1"/>
  <c r="V94" i="1"/>
  <c r="V96" i="1"/>
  <c r="V4" i="1"/>
  <c r="V50" i="1"/>
  <c r="V63" i="1"/>
  <c r="V74" i="1"/>
  <c r="V87" i="1"/>
  <c r="V91" i="1"/>
  <c r="V104" i="1"/>
  <c r="V136" i="1"/>
  <c r="V168" i="1"/>
  <c r="V200" i="1"/>
  <c r="V232" i="1"/>
  <c r="V264" i="1"/>
  <c r="V21" i="1"/>
  <c r="V56" i="1"/>
  <c r="V144" i="1"/>
  <c r="V122" i="1"/>
  <c r="V124" i="1"/>
  <c r="V150" i="1"/>
  <c r="V156" i="1"/>
  <c r="V32" i="1"/>
  <c r="Y2" i="1"/>
  <c r="Z2" i="1" s="1"/>
  <c r="V6" i="1"/>
  <c r="V8" i="1"/>
  <c r="Y22" i="1"/>
  <c r="Z22" i="1" s="1"/>
  <c r="Y26" i="1"/>
  <c r="Z26" i="1" s="1"/>
  <c r="V43" i="1"/>
  <c r="V45" i="1"/>
  <c r="Y59" i="1"/>
  <c r="V80" i="1"/>
  <c r="V93" i="1"/>
  <c r="V95" i="1"/>
  <c r="V106" i="1"/>
  <c r="V123" i="1"/>
  <c r="V138" i="1"/>
  <c r="V155" i="1"/>
  <c r="V170" i="1"/>
  <c r="V187" i="1"/>
  <c r="V202" i="1"/>
  <c r="V219" i="1"/>
  <c r="V234" i="1"/>
  <c r="V251" i="1"/>
  <c r="V266" i="1"/>
  <c r="V286" i="1"/>
  <c r="V290" i="1"/>
  <c r="V303" i="1"/>
  <c r="V318" i="1"/>
  <c r="V322" i="1"/>
  <c r="Y12" i="1"/>
  <c r="Z12" i="1" s="1"/>
  <c r="Y23" i="1"/>
  <c r="Z23" i="1" s="1"/>
  <c r="Y34" i="1"/>
  <c r="Z34" i="1" s="1"/>
  <c r="Y62" i="1"/>
  <c r="Z62" i="1" s="1"/>
  <c r="Y94" i="1"/>
  <c r="Z94" i="1" s="1"/>
  <c r="V109" i="1"/>
  <c r="V114" i="1"/>
  <c r="Y126" i="1"/>
  <c r="V141" i="1"/>
  <c r="V146" i="1"/>
  <c r="Y158" i="1"/>
  <c r="Z158" i="1" s="1"/>
  <c r="V173" i="1"/>
  <c r="V178" i="1"/>
  <c r="Y190" i="1"/>
  <c r="Z190" i="1" s="1"/>
  <c r="V205" i="1"/>
  <c r="V210" i="1"/>
  <c r="Y222" i="1"/>
  <c r="Z222" i="1" s="1"/>
  <c r="V237" i="1"/>
  <c r="V242" i="1"/>
  <c r="Y313" i="1"/>
  <c r="Z313" i="1" s="1"/>
  <c r="Y79" i="1"/>
  <c r="Z79" i="1" s="1"/>
  <c r="Y91" i="1"/>
  <c r="Z91" i="1" s="1"/>
  <c r="Y111" i="1"/>
  <c r="Z111" i="1" s="1"/>
  <c r="Y123" i="1"/>
  <c r="Y143" i="1"/>
  <c r="Z143" i="1" s="1"/>
  <c r="Y155" i="1"/>
  <c r="Z155" i="1" s="1"/>
  <c r="Y175" i="1"/>
  <c r="Z175" i="1" s="1"/>
  <c r="Y187" i="1"/>
  <c r="Z187" i="1" s="1"/>
  <c r="Y207" i="1"/>
  <c r="Z207" i="1" s="1"/>
  <c r="Y219" i="1"/>
  <c r="Z219" i="1" s="1"/>
  <c r="Y239" i="1"/>
  <c r="Y251" i="1"/>
  <c r="Z251" i="1" s="1"/>
  <c r="Y271" i="1"/>
  <c r="Z271" i="1" s="1"/>
  <c r="Y283" i="1"/>
  <c r="Z283" i="1" s="1"/>
  <c r="Y303" i="1"/>
  <c r="Y315" i="1"/>
  <c r="Z315" i="1" s="1"/>
  <c r="Y61" i="1"/>
  <c r="Z61" i="1" s="1"/>
  <c r="Y63" i="1"/>
  <c r="Z63" i="1" s="1"/>
  <c r="Y65" i="1"/>
  <c r="Y93" i="1"/>
  <c r="Z93" i="1" s="1"/>
  <c r="Y95" i="1"/>
  <c r="Z95" i="1" s="1"/>
  <c r="Y97" i="1"/>
  <c r="Y125" i="1"/>
  <c r="Z125" i="1" s="1"/>
  <c r="Y127" i="1"/>
  <c r="Z127" i="1" s="1"/>
  <c r="Y129" i="1"/>
  <c r="Z129" i="1" s="1"/>
  <c r="Y157" i="1"/>
  <c r="Y159" i="1"/>
  <c r="Z159" i="1" s="1"/>
  <c r="Y161" i="1"/>
  <c r="Z161" i="1" s="1"/>
  <c r="Y189" i="1"/>
  <c r="Z189" i="1" s="1"/>
  <c r="Y191" i="1"/>
  <c r="Z191" i="1" s="1"/>
  <c r="Y193" i="1"/>
  <c r="Y329" i="1"/>
  <c r="Z329" i="1" s="1"/>
  <c r="Y223" i="1"/>
  <c r="Z223" i="1" s="1"/>
  <c r="Y225" i="1"/>
  <c r="Z225" i="1" s="1"/>
  <c r="Y253" i="1"/>
  <c r="Y255" i="1"/>
  <c r="Z255" i="1" s="1"/>
  <c r="Y257" i="1"/>
  <c r="Y285" i="1"/>
  <c r="Z285" i="1" s="1"/>
  <c r="Y287" i="1"/>
  <c r="Z287" i="1" s="1"/>
  <c r="Y289" i="1"/>
  <c r="Z289" i="1" s="1"/>
  <c r="Y291" i="1"/>
  <c r="Z291" i="1" s="1"/>
  <c r="Y298" i="1"/>
  <c r="Z298" i="1" s="1"/>
  <c r="V309" i="1"/>
  <c r="Y310" i="1"/>
  <c r="Z310" i="1" s="1"/>
  <c r="Y312" i="1"/>
  <c r="Y110" i="1"/>
  <c r="Z110" i="1" s="1"/>
  <c r="Y122" i="1"/>
  <c r="Z122" i="1" s="1"/>
  <c r="Y135" i="1"/>
  <c r="Z135" i="1" s="1"/>
  <c r="Y142" i="1"/>
  <c r="Z142" i="1" s="1"/>
  <c r="Y154" i="1"/>
  <c r="Z154" i="1" s="1"/>
  <c r="Y167" i="1"/>
  <c r="Z167" i="1" s="1"/>
  <c r="Y174" i="1"/>
  <c r="Z174" i="1" s="1"/>
  <c r="Y186" i="1"/>
  <c r="Y199" i="1"/>
  <c r="Z199" i="1" s="1"/>
  <c r="Y206" i="1"/>
  <c r="Z206" i="1" s="1"/>
  <c r="Y218" i="1"/>
  <c r="Z218" i="1" s="1"/>
  <c r="Y231" i="1"/>
  <c r="Z231" i="1" s="1"/>
  <c r="Y238" i="1"/>
  <c r="Z238" i="1" s="1"/>
  <c r="Y250" i="1"/>
  <c r="Y301" i="1"/>
  <c r="Z301" i="1" s="1"/>
  <c r="Y265" i="1"/>
  <c r="Z265" i="1" s="1"/>
  <c r="Y270" i="1"/>
  <c r="Z270" i="1" s="1"/>
  <c r="Y282" i="1"/>
  <c r="Z282" i="1" s="1"/>
  <c r="Y295" i="1"/>
  <c r="Z295" i="1" s="1"/>
  <c r="Y297" i="1"/>
  <c r="Z297" i="1" s="1"/>
  <c r="Y302" i="1"/>
  <c r="Z302" i="1" s="1"/>
  <c r="Y314" i="1"/>
  <c r="Z314" i="1" s="1"/>
  <c r="Y327" i="1"/>
  <c r="Z327" i="1" s="1"/>
  <c r="Y7" i="1"/>
  <c r="Z7" i="1" s="1"/>
  <c r="Y14" i="1"/>
  <c r="Z14" i="1" s="1"/>
  <c r="Y24" i="1"/>
  <c r="Z24" i="1" s="1"/>
  <c r="Y39" i="1"/>
  <c r="Z39" i="1" s="1"/>
  <c r="Y41" i="1"/>
  <c r="Z41" i="1" s="1"/>
  <c r="Y51" i="1"/>
  <c r="Z51" i="1" s="1"/>
  <c r="Y66" i="1"/>
  <c r="Z66" i="1" s="1"/>
  <c r="Y68" i="1"/>
  <c r="Y83" i="1"/>
  <c r="Z83" i="1" s="1"/>
  <c r="Y98" i="1"/>
  <c r="Z98" i="1" s="1"/>
  <c r="Y100" i="1"/>
  <c r="Z100" i="1" s="1"/>
  <c r="Y115" i="1"/>
  <c r="Z115" i="1" s="1"/>
  <c r="Y130" i="1"/>
  <c r="Z130" i="1" s="1"/>
  <c r="Y132" i="1"/>
  <c r="Z132" i="1" s="1"/>
  <c r="Y147" i="1"/>
  <c r="Z147" i="1" s="1"/>
  <c r="Y162" i="1"/>
  <c r="Y164" i="1"/>
  <c r="Z164" i="1" s="1"/>
  <c r="Y179" i="1"/>
  <c r="Y194" i="1"/>
  <c r="Z194" i="1" s="1"/>
  <c r="Y196" i="1"/>
  <c r="Z196" i="1" s="1"/>
  <c r="Y211" i="1"/>
  <c r="Z211" i="1" s="1"/>
  <c r="Y226" i="1"/>
  <c r="Z226" i="1" s="1"/>
  <c r="Y228" i="1"/>
  <c r="Y243" i="1"/>
  <c r="Z243" i="1" s="1"/>
  <c r="Y258" i="1"/>
  <c r="Z258" i="1" s="1"/>
  <c r="Y260" i="1"/>
  <c r="Z260" i="1" s="1"/>
  <c r="Y275" i="1"/>
  <c r="Z275" i="1" s="1"/>
  <c r="Y290" i="1"/>
  <c r="Z290" i="1" s="1"/>
  <c r="Y269" i="1"/>
  <c r="Z269" i="1" s="1"/>
  <c r="Y307" i="1"/>
  <c r="Z307" i="1" s="1"/>
  <c r="Y322" i="1"/>
  <c r="Y324" i="1"/>
  <c r="Z324" i="1" s="1"/>
  <c r="Y4" i="1"/>
  <c r="Z4" i="1" s="1"/>
  <c r="Y240" i="1"/>
  <c r="Z240" i="1" s="1"/>
  <c r="Y11" i="1"/>
  <c r="Z11" i="1" s="1"/>
  <c r="Y28" i="1"/>
  <c r="Z28" i="1" s="1"/>
  <c r="Y55" i="1"/>
  <c r="Z55" i="1" s="1"/>
  <c r="Y70" i="1"/>
  <c r="Z70" i="1" s="1"/>
  <c r="Y72" i="1"/>
  <c r="Y87" i="1"/>
  <c r="Z87" i="1" s="1"/>
  <c r="Y102" i="1"/>
  <c r="Z102" i="1" s="1"/>
  <c r="Y104" i="1"/>
  <c r="Z104" i="1" s="1"/>
  <c r="Y119" i="1"/>
  <c r="Z119" i="1" s="1"/>
  <c r="Y134" i="1"/>
  <c r="Z134" i="1" s="1"/>
  <c r="Y136" i="1"/>
  <c r="Z136" i="1" s="1"/>
  <c r="Y151" i="1"/>
  <c r="Z151" i="1" s="1"/>
  <c r="Y166" i="1"/>
  <c r="Y168" i="1"/>
  <c r="Y183" i="1"/>
  <c r="Z183" i="1" s="1"/>
  <c r="Y198" i="1"/>
  <c r="Z198" i="1" s="1"/>
  <c r="Y215" i="1"/>
  <c r="Z215" i="1" s="1"/>
  <c r="Y230" i="1"/>
  <c r="Z230" i="1" s="1"/>
  <c r="Y247" i="1"/>
  <c r="Z247" i="1" s="1"/>
  <c r="Y262" i="1"/>
  <c r="Z262" i="1" s="1"/>
  <c r="Y279" i="1"/>
  <c r="Z279" i="1" s="1"/>
  <c r="Y294" i="1"/>
  <c r="Z294" i="1" s="1"/>
  <c r="Y311" i="1"/>
  <c r="Z311" i="1" s="1"/>
  <c r="Y326" i="1"/>
  <c r="Z326" i="1" s="1"/>
  <c r="Y15" i="1"/>
  <c r="Z15" i="1" s="1"/>
  <c r="Y25" i="1"/>
  <c r="Z25" i="1" s="1"/>
  <c r="Y323" i="1"/>
  <c r="Z323" i="1" s="1"/>
  <c r="Y37" i="1"/>
  <c r="Z37" i="1" s="1"/>
  <c r="Y5" i="1"/>
  <c r="Y48" i="1"/>
  <c r="Y80" i="1"/>
  <c r="Y112" i="1"/>
  <c r="Z112" i="1" s="1"/>
  <c r="Y144" i="1"/>
  <c r="Z144" i="1" s="1"/>
  <c r="Y176" i="1"/>
  <c r="Z176" i="1" s="1"/>
  <c r="Y208" i="1"/>
  <c r="Z208" i="1" s="1"/>
  <c r="Y319" i="1"/>
  <c r="Z319" i="1" s="1"/>
  <c r="Y272" i="1"/>
  <c r="Y304" i="1"/>
  <c r="Z304" i="1" s="1"/>
  <c r="Y60" i="1"/>
  <c r="Y92" i="1"/>
  <c r="Z92" i="1" s="1"/>
  <c r="Y124" i="1"/>
  <c r="Z124" i="1" s="1"/>
  <c r="Y156" i="1"/>
  <c r="Z156" i="1" s="1"/>
  <c r="Y188" i="1"/>
  <c r="Z188" i="1" s="1"/>
  <c r="Y220" i="1"/>
  <c r="Z220" i="1" s="1"/>
  <c r="Y252" i="1"/>
  <c r="Z252" i="1" s="1"/>
  <c r="Y276" i="1"/>
  <c r="Z276" i="1" s="1"/>
  <c r="Y316" i="1"/>
  <c r="Z316" i="1" s="1"/>
  <c r="Y200" i="1"/>
  <c r="Z200" i="1" s="1"/>
  <c r="Y232" i="1"/>
  <c r="Z232" i="1" s="1"/>
  <c r="Y264" i="1"/>
  <c r="Z264" i="1" s="1"/>
  <c r="Y296" i="1"/>
  <c r="Z296" i="1" s="1"/>
  <c r="Y328" i="1"/>
  <c r="Y52" i="1"/>
  <c r="Z52" i="1" s="1"/>
  <c r="Y84" i="1"/>
  <c r="Z84" i="1" s="1"/>
  <c r="Y116" i="1"/>
  <c r="Y148" i="1"/>
  <c r="Z148" i="1" s="1"/>
  <c r="Y180" i="1"/>
  <c r="Z180" i="1" s="1"/>
  <c r="Y212" i="1"/>
  <c r="Z212" i="1" s="1"/>
  <c r="Y244" i="1"/>
  <c r="Z244" i="1" s="1"/>
  <c r="Y284" i="1"/>
  <c r="Z284" i="1" s="1"/>
  <c r="Y308" i="1"/>
  <c r="Y64" i="1"/>
  <c r="Y96" i="1"/>
  <c r="Z96" i="1" s="1"/>
  <c r="Y128" i="1"/>
  <c r="Y160" i="1"/>
  <c r="Z160" i="1" s="1"/>
  <c r="Y192" i="1"/>
  <c r="Z192" i="1" s="1"/>
  <c r="Y224" i="1"/>
  <c r="Z224" i="1" s="1"/>
  <c r="Y256" i="1"/>
  <c r="Z256" i="1" s="1"/>
  <c r="Y288" i="1"/>
  <c r="Z288" i="1" s="1"/>
  <c r="Y320" i="1"/>
  <c r="Y172" i="1"/>
  <c r="Y204" i="1"/>
  <c r="Z204" i="1" s="1"/>
  <c r="Y236" i="1"/>
  <c r="Z236" i="1" s="1"/>
  <c r="Y268" i="1"/>
  <c r="Z268" i="1" s="1"/>
  <c r="Y300" i="1"/>
  <c r="Z300" i="1" s="1"/>
  <c r="A1" i="3" l="1" a="1"/>
  <c r="AB264" i="1" l="1"/>
  <c r="AB296" i="1"/>
  <c r="AB328" i="1"/>
  <c r="AB293" i="1"/>
  <c r="AB325" i="1"/>
  <c r="AB287" i="1"/>
  <c r="AB327" i="1"/>
  <c r="AB294" i="1"/>
  <c r="AB326" i="1"/>
  <c r="AB23" i="1"/>
  <c r="AB55" i="1"/>
  <c r="AB87" i="1"/>
  <c r="AB119" i="1"/>
  <c r="AB151" i="1"/>
  <c r="AB183" i="1"/>
  <c r="AB215" i="1"/>
  <c r="AB247" i="1"/>
  <c r="AB16" i="1"/>
  <c r="AB48" i="1"/>
  <c r="AB80" i="1"/>
  <c r="AB112" i="1"/>
  <c r="AB144" i="1"/>
  <c r="AB176" i="1"/>
  <c r="AB208" i="1"/>
  <c r="AB240" i="1"/>
  <c r="AB13" i="1"/>
  <c r="AB45" i="1"/>
  <c r="AB77" i="1"/>
  <c r="AB109" i="1"/>
  <c r="AB141" i="1"/>
  <c r="AB173" i="1"/>
  <c r="AB205" i="1"/>
  <c r="AB237" i="1"/>
  <c r="AB10" i="1"/>
  <c r="AB42" i="1"/>
  <c r="AB74" i="1"/>
  <c r="AB106" i="1"/>
  <c r="AB138" i="1"/>
  <c r="AB170" i="1"/>
  <c r="AB202" i="1"/>
  <c r="AB234" i="1"/>
  <c r="AB2" i="1"/>
  <c r="AB265" i="1"/>
  <c r="AB295" i="1"/>
  <c r="AB187" i="1"/>
  <c r="AB52" i="1"/>
  <c r="AB116" i="1"/>
  <c r="AB180" i="1"/>
  <c r="AB244" i="1"/>
  <c r="AB49" i="1"/>
  <c r="AB113" i="1"/>
  <c r="AB177" i="1"/>
  <c r="AB241" i="1"/>
  <c r="AB46" i="1"/>
  <c r="AB110" i="1"/>
  <c r="AB174" i="1"/>
  <c r="AB238" i="1"/>
  <c r="AB210" i="1"/>
  <c r="AB308" i="1"/>
  <c r="AB323" i="1"/>
  <c r="AB306" i="1"/>
  <c r="AB67" i="1"/>
  <c r="AB163" i="1"/>
  <c r="AB259" i="1"/>
  <c r="AB92" i="1"/>
  <c r="AB188" i="1"/>
  <c r="AB25" i="1"/>
  <c r="AB89" i="1"/>
  <c r="AB153" i="1"/>
  <c r="AB185" i="1"/>
  <c r="AB249" i="1"/>
  <c r="AB118" i="1"/>
  <c r="AB246" i="1"/>
  <c r="AB126" i="1"/>
  <c r="AB268" i="1"/>
  <c r="AB300" i="1"/>
  <c r="AB297" i="1"/>
  <c r="AB329" i="1"/>
  <c r="AB266" i="1"/>
  <c r="AB298" i="1"/>
  <c r="AB330" i="1"/>
  <c r="AB27" i="1"/>
  <c r="AB59" i="1"/>
  <c r="AB91" i="1"/>
  <c r="AB123" i="1"/>
  <c r="AB155" i="1"/>
  <c r="AB219" i="1"/>
  <c r="AB251" i="1"/>
  <c r="AB20" i="1"/>
  <c r="AB84" i="1"/>
  <c r="AB148" i="1"/>
  <c r="AB212" i="1"/>
  <c r="AB17" i="1"/>
  <c r="AB81" i="1"/>
  <c r="AB145" i="1"/>
  <c r="AB209" i="1"/>
  <c r="AB14" i="1"/>
  <c r="AB78" i="1"/>
  <c r="AB142" i="1"/>
  <c r="AB206" i="1"/>
  <c r="A1" i="3"/>
  <c r="AB273" i="1"/>
  <c r="AB274" i="1"/>
  <c r="AB35" i="1"/>
  <c r="AB131" i="1"/>
  <c r="AB227" i="1"/>
  <c r="AB60" i="1"/>
  <c r="AB156" i="1"/>
  <c r="AB252" i="1"/>
  <c r="AB57" i="1"/>
  <c r="AB121" i="1"/>
  <c r="AB217" i="1"/>
  <c r="AB22" i="1"/>
  <c r="AB150" i="1"/>
  <c r="AB225" i="1"/>
  <c r="AB158" i="1"/>
  <c r="AB272" i="1"/>
  <c r="AB304" i="1"/>
  <c r="AB269" i="1"/>
  <c r="AB301" i="1"/>
  <c r="AB283" i="1"/>
  <c r="AB299" i="1"/>
  <c r="AB270" i="1"/>
  <c r="AB302" i="1"/>
  <c r="AB291" i="1"/>
  <c r="AB31" i="1"/>
  <c r="AB63" i="1"/>
  <c r="AB95" i="1"/>
  <c r="AB127" i="1"/>
  <c r="AB159" i="1"/>
  <c r="AB191" i="1"/>
  <c r="AB223" i="1"/>
  <c r="AB255" i="1"/>
  <c r="AB24" i="1"/>
  <c r="AB56" i="1"/>
  <c r="AB88" i="1"/>
  <c r="AB120" i="1"/>
  <c r="AB152" i="1"/>
  <c r="AB184" i="1"/>
  <c r="AB216" i="1"/>
  <c r="AB248" i="1"/>
  <c r="AB21" i="1"/>
  <c r="AB53" i="1"/>
  <c r="AB85" i="1"/>
  <c r="AB117" i="1"/>
  <c r="AB149" i="1"/>
  <c r="AB181" i="1"/>
  <c r="AB213" i="1"/>
  <c r="AB245" i="1"/>
  <c r="AB18" i="1"/>
  <c r="AB50" i="1"/>
  <c r="AB82" i="1"/>
  <c r="AB114" i="1"/>
  <c r="AB146" i="1"/>
  <c r="AB178" i="1"/>
  <c r="AB242" i="1"/>
  <c r="AB305" i="1"/>
  <c r="AB303" i="1"/>
  <c r="AB3" i="1"/>
  <c r="AB99" i="1"/>
  <c r="AB195" i="1"/>
  <c r="AB28" i="1"/>
  <c r="AB124" i="1"/>
  <c r="AB220" i="1"/>
  <c r="AB276" i="1"/>
  <c r="AB280" i="1"/>
  <c r="AB312" i="1"/>
  <c r="AB277" i="1"/>
  <c r="AB309" i="1"/>
  <c r="AB267" i="1"/>
  <c r="AB307" i="1"/>
  <c r="AB278" i="1"/>
  <c r="AB310" i="1"/>
  <c r="AB7" i="1"/>
  <c r="AB39" i="1"/>
  <c r="AB71" i="1"/>
  <c r="AB103" i="1"/>
  <c r="AB135" i="1"/>
  <c r="AB167" i="1"/>
  <c r="AB199" i="1"/>
  <c r="AB231" i="1"/>
  <c r="AB263" i="1"/>
  <c r="AB32" i="1"/>
  <c r="AB64" i="1"/>
  <c r="AB96" i="1"/>
  <c r="AB128" i="1"/>
  <c r="AB160" i="1"/>
  <c r="AB192" i="1"/>
  <c r="AB224" i="1"/>
  <c r="AB256" i="1"/>
  <c r="AB29" i="1"/>
  <c r="AB61" i="1"/>
  <c r="AB93" i="1"/>
  <c r="AB125" i="1"/>
  <c r="AB157" i="1"/>
  <c r="AB189" i="1"/>
  <c r="AB221" i="1"/>
  <c r="AB253" i="1"/>
  <c r="AB26" i="1"/>
  <c r="AB58" i="1"/>
  <c r="AB90" i="1"/>
  <c r="AB122" i="1"/>
  <c r="AB154" i="1"/>
  <c r="AB186" i="1"/>
  <c r="AB218" i="1"/>
  <c r="AB250" i="1"/>
  <c r="AB203" i="1"/>
  <c r="AB68" i="1"/>
  <c r="AB132" i="1"/>
  <c r="AB196" i="1"/>
  <c r="AB228" i="1"/>
  <c r="AB33" i="1"/>
  <c r="AB97" i="1"/>
  <c r="AB161" i="1"/>
  <c r="AB257" i="1"/>
  <c r="AB190" i="1"/>
  <c r="AB284" i="1"/>
  <c r="AB316" i="1"/>
  <c r="AB281" i="1"/>
  <c r="AB313" i="1"/>
  <c r="AB271" i="1"/>
  <c r="AB311" i="1"/>
  <c r="AB282" i="1"/>
  <c r="AB314" i="1"/>
  <c r="AB11" i="1"/>
  <c r="AB43" i="1"/>
  <c r="AB75" i="1"/>
  <c r="AB107" i="1"/>
  <c r="AB139" i="1"/>
  <c r="AB171" i="1"/>
  <c r="AB235" i="1"/>
  <c r="AB4" i="1"/>
  <c r="AB36" i="1"/>
  <c r="AB100" i="1"/>
  <c r="AB164" i="1"/>
  <c r="AB260" i="1"/>
  <c r="AB65" i="1"/>
  <c r="AB129" i="1"/>
  <c r="AB193" i="1"/>
  <c r="AB94" i="1"/>
  <c r="AB288" i="1"/>
  <c r="AB320" i="1"/>
  <c r="AB285" i="1"/>
  <c r="AB317" i="1"/>
  <c r="AB275" i="1"/>
  <c r="AB315" i="1"/>
  <c r="AB286" i="1"/>
  <c r="AB318" i="1"/>
  <c r="AB15" i="1"/>
  <c r="AB47" i="1"/>
  <c r="AB79" i="1"/>
  <c r="AB111" i="1"/>
  <c r="AB143" i="1"/>
  <c r="AB175" i="1"/>
  <c r="AB207" i="1"/>
  <c r="AB239" i="1"/>
  <c r="AB8" i="1"/>
  <c r="AB40" i="1"/>
  <c r="AB72" i="1"/>
  <c r="AB104" i="1"/>
  <c r="AB136" i="1"/>
  <c r="AB168" i="1"/>
  <c r="AB200" i="1"/>
  <c r="AB232" i="1"/>
  <c r="AB5" i="1"/>
  <c r="AB37" i="1"/>
  <c r="AB69" i="1"/>
  <c r="AB101" i="1"/>
  <c r="AB133" i="1"/>
  <c r="AB165" i="1"/>
  <c r="AB197" i="1"/>
  <c r="AB229" i="1"/>
  <c r="AB261" i="1"/>
  <c r="AB34" i="1"/>
  <c r="AB66" i="1"/>
  <c r="AB98" i="1"/>
  <c r="AB130" i="1"/>
  <c r="AB162" i="1"/>
  <c r="AB194" i="1"/>
  <c r="AB226" i="1"/>
  <c r="AB258" i="1"/>
  <c r="AB198" i="1"/>
  <c r="AB262" i="1"/>
  <c r="AB86" i="1"/>
  <c r="AB214" i="1"/>
  <c r="AB62" i="1"/>
  <c r="AB254" i="1"/>
  <c r="AB292" i="1"/>
  <c r="AB324" i="1"/>
  <c r="AB289" i="1"/>
  <c r="AB321" i="1"/>
  <c r="AB279" i="1"/>
  <c r="AB319" i="1"/>
  <c r="AB290" i="1"/>
  <c r="AB322" i="1"/>
  <c r="AB19" i="1"/>
  <c r="AB51" i="1"/>
  <c r="AB83" i="1"/>
  <c r="AB115" i="1"/>
  <c r="AB147" i="1"/>
  <c r="AB179" i="1"/>
  <c r="AB211" i="1"/>
  <c r="AB243" i="1"/>
  <c r="AB12" i="1"/>
  <c r="AB44" i="1"/>
  <c r="AB76" i="1"/>
  <c r="AB108" i="1"/>
  <c r="AB140" i="1"/>
  <c r="AB172" i="1"/>
  <c r="AB204" i="1"/>
  <c r="AB236" i="1"/>
  <c r="AB9" i="1"/>
  <c r="AB41" i="1"/>
  <c r="AB73" i="1"/>
  <c r="AB105" i="1"/>
  <c r="AB137" i="1"/>
  <c r="AB169" i="1"/>
  <c r="AB201" i="1"/>
  <c r="AB233" i="1"/>
  <c r="AB6" i="1"/>
  <c r="AB38" i="1"/>
  <c r="AB70" i="1"/>
  <c r="AB102" i="1"/>
  <c r="AB134" i="1"/>
  <c r="AB166" i="1"/>
  <c r="AB230" i="1"/>
  <c r="AB54" i="1"/>
  <c r="AB182" i="1"/>
  <c r="AB30" i="1"/>
  <c r="AB2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<sst xmlns="http://schemas.openxmlformats.org/spreadsheetml/2006/main" count="4637" uniqueCount="1293">
  <si>
    <t>No</t>
  </si>
  <si>
    <t>연월구분</t>
    <phoneticPr fontId="4" type="noConversion"/>
  </si>
  <si>
    <t>기간</t>
  </si>
  <si>
    <t>신청일수</t>
  </si>
  <si>
    <t>신청시간</t>
  </si>
  <si>
    <t>사용일수</t>
  </si>
  <si>
    <t>부서</t>
  </si>
  <si>
    <t>직급</t>
  </si>
  <si>
    <t>이름</t>
  </si>
  <si>
    <t>ERP사번</t>
  </si>
  <si>
    <t>근태항목</t>
  </si>
  <si>
    <t>근태구분</t>
  </si>
  <si>
    <t>상태</t>
  </si>
  <si>
    <t>종결일자</t>
  </si>
  <si>
    <t>신청내역</t>
  </si>
  <si>
    <t>문서번호</t>
  </si>
  <si>
    <t>출장지</t>
  </si>
  <si>
    <t>교통수단</t>
  </si>
  <si>
    <t>출장목적</t>
  </si>
  <si>
    <t>비고</t>
  </si>
  <si>
    <t>초과근무일자</t>
    <phoneticPr fontId="4" type="noConversion"/>
  </si>
  <si>
    <t>주차</t>
    <phoneticPr fontId="4" type="noConversion"/>
  </si>
  <si>
    <t>시작시간</t>
    <phoneticPr fontId="4" type="noConversion"/>
  </si>
  <si>
    <t>종료시간</t>
    <phoneticPr fontId="4" type="noConversion"/>
  </si>
  <si>
    <t>초과시간</t>
    <phoneticPr fontId="4" type="noConversion"/>
  </si>
  <si>
    <t>25년 3월</t>
    <phoneticPr fontId="4" type="noConversion"/>
  </si>
  <si>
    <t>25년 1월</t>
    <phoneticPr fontId="4" type="noConversion"/>
  </si>
  <si>
    <t>2025-01-30(08:55) ~ 2025-01-30(14:00)</t>
  </si>
  <si>
    <t>5.10시간</t>
  </si>
  <si>
    <t>AR3팀</t>
  </si>
  <si>
    <t>Team Member</t>
  </si>
  <si>
    <t>김기연</t>
  </si>
  <si>
    <t>24030401</t>
  </si>
  <si>
    <t>유연근무</t>
  </si>
  <si>
    <t>초과근무</t>
  </si>
  <si>
    <t>결재종결</t>
  </si>
  <si>
    <t>2025-01-31</t>
  </si>
  <si>
    <t>250128-30_AR2팀_김기연_유연근무신청서 (초과근무)</t>
  </si>
  <si>
    <t>뉴로핏 주식회사-250131-AR2팀-0003</t>
  </si>
  <si>
    <t>nnDet 실험 및 ISC e-poster 확인</t>
  </si>
  <si>
    <t>2025-01-30(15:36) ~ 2025-01-30(17:55)</t>
  </si>
  <si>
    <t>2.30시간</t>
  </si>
  <si>
    <t>AR1팀</t>
  </si>
  <si>
    <t>조상영</t>
  </si>
  <si>
    <t>23022701</t>
  </si>
  <si>
    <t>2025-02-03</t>
  </si>
  <si>
    <t>20250126, 250128, 250129, 250130 AR1팀 조상영 유연근무 신청서 (초과근무)</t>
  </si>
  <si>
    <t>뉴로핏 주식회사-250203-AR1팀-0002</t>
  </si>
  <si>
    <t>AQUA AD 3.0 통합 엔진 개발</t>
  </si>
  <si>
    <t>2025-01-29(08:30) ~ 2025-01-29(11:10)</t>
  </si>
  <si>
    <t>2.70시간</t>
  </si>
  <si>
    <t>nnUnet 추가실험 output delivery &amp; nnDet 실험</t>
  </si>
  <si>
    <t>2025-01-29(15:53) ~ 2025-01-29(19:53)</t>
  </si>
  <si>
    <t>4.00시간</t>
  </si>
  <si>
    <t>2025-01-29(21:30) ~ 2025-01-29(23:59)</t>
  </si>
  <si>
    <t>2.50시간</t>
  </si>
  <si>
    <t>Team Lead</t>
  </si>
  <si>
    <t>양현식</t>
  </si>
  <si>
    <t>22030204</t>
  </si>
  <si>
    <t>20250127,28,29_AR3팀_양현식_유연근무신청서(초과근무)</t>
  </si>
  <si>
    <t>뉴로핏 주식회사-250203-AR3팀-0004</t>
  </si>
  <si>
    <t>coordconv 적용하기, rgs with seg 아이디어 적용하기</t>
  </si>
  <si>
    <t>2025-01-29(21:00) ~ 2025-01-29(23:59)</t>
  </si>
  <si>
    <t>3.00시간</t>
  </si>
  <si>
    <t>김도연A</t>
  </si>
  <si>
    <t>23091101</t>
  </si>
  <si>
    <t>20250203_AR3팀_김도연_유연근무신청서(초과근무)</t>
  </si>
  <si>
    <t>뉴로핏 주식회사-250203-AR3팀-0003</t>
  </si>
  <si>
    <t>- 조건 변경 후 결과 확인, loss 변경 후 실험</t>
  </si>
  <si>
    <t>2025-01-28(09:40) ~ 2025-01-28(12:50)</t>
  </si>
  <si>
    <t>3.20시간</t>
  </si>
  <si>
    <t>nnDet 실험 &amp; nnUnet 추가 실험 진행</t>
  </si>
  <si>
    <t>2025-01-28(19:12) ~ 2025-01-28(22:06)</t>
  </si>
  <si>
    <t>2.90시간</t>
  </si>
  <si>
    <t>2025-01-28(10:50) ~ 2025-01-28(14:50)</t>
  </si>
  <si>
    <t>center of mass를 loss에 적용하여보기</t>
  </si>
  <si>
    <t>2025-01-28(11:40) ~ 2025-01-28(16:40)</t>
  </si>
  <si>
    <t>5.00시간</t>
  </si>
  <si>
    <t>- 결과 추가 분석</t>
  </si>
  <si>
    <t>2025-01-27(10:06) ~ 2025-01-27(15:47)</t>
  </si>
  <si>
    <t>5.70시간</t>
  </si>
  <si>
    <t>김다현</t>
  </si>
  <si>
    <t>24060302</t>
  </si>
  <si>
    <t>2025-02-04</t>
  </si>
  <si>
    <t>250125,250127_AR1팀(김다현)_유연근무(초과근무)</t>
  </si>
  <si>
    <t>뉴로핏 주식회사-250203-AR1팀-0003</t>
  </si>
  <si>
    <t>SEG-03 fine-tuning_v3 실험 결과 확인 및 정리, SWI, GRE 데이터 확인</t>
  </si>
  <si>
    <t>2025-01-27(14:00) ~ 2025-01-27(16:20)</t>
  </si>
  <si>
    <t>qc 데이터셋 적용 및 crop4x 실험</t>
  </si>
  <si>
    <t>2025-01-27(19:00) ~ 2025-01-27(23:05)</t>
  </si>
  <si>
    <t>4.10시간</t>
  </si>
  <si>
    <t>- 결과 확인 및 분석</t>
  </si>
  <si>
    <t>2025-01-26(20:26) ~ 2025-01-26(23:30)</t>
  </si>
  <si>
    <t>3.10시간</t>
  </si>
  <si>
    <t>류준환</t>
  </si>
  <si>
    <t>20062901</t>
  </si>
  <si>
    <t>2025-01-27</t>
  </si>
  <si>
    <t>20250126 류준환 유연근무청서 (초과근무)</t>
  </si>
  <si>
    <t>뉴로핏 주식회사-250126-AR1팀-0001</t>
  </si>
  <si>
    <t>AQUA AD v3.0 FDA 인증인허가 관련업무</t>
  </si>
  <si>
    <t>2025-01-26(16:45) ~ 2025-01-26(19:31)</t>
  </si>
  <si>
    <t>2.80시간</t>
  </si>
  <si>
    <t>2025-01-25(07:25) ~ 2025-01-25(10:25)</t>
  </si>
  <si>
    <t>250125_AR2팀_김기연_유연근무신청서 (초과근무)</t>
  </si>
  <si>
    <t>뉴로핏 주식회사-250131-AR2팀-0002</t>
  </si>
  <si>
    <t>nnDet 실험 에러 확인 및 해결 &amp; nnUnet 추가 실험</t>
  </si>
  <si>
    <t>2025-01-25(13:08) ~ 2025-01-25(16:25)</t>
  </si>
  <si>
    <t>3.30시간</t>
  </si>
  <si>
    <t>SEG-03 fine-tuning 실험결과 정리 및 실험 준비, SWI, GRE 데이터 확인</t>
  </si>
  <si>
    <t>2025-01-24(11:30) ~ 2025-01-24(18:07)</t>
  </si>
  <si>
    <t>6.60시간</t>
  </si>
  <si>
    <t>자금팀</t>
  </si>
  <si>
    <t>문시현</t>
  </si>
  <si>
    <t>24011501</t>
  </si>
  <si>
    <t>250124_자금팀(문시현)_초과근무 신청의 건</t>
  </si>
  <si>
    <t>뉴로핏 주식회사-250131-자금팀-0002</t>
  </si>
  <si>
    <t>사채납입 업무로 진행으로 인한 초과 근무</t>
  </si>
  <si>
    <t>2025-01-23(16:00) ~ 2025-01-23(17:00)</t>
  </si>
  <si>
    <t>1.00시간</t>
  </si>
  <si>
    <t>연구기획팀</t>
  </si>
  <si>
    <t>박인영</t>
  </si>
  <si>
    <t>23082301</t>
  </si>
  <si>
    <t>250123_연구기획팀(박인영)_1월 4주 초과근무 신청의 건</t>
  </si>
  <si>
    <t>뉴로핏 주식회사-250131-연구기획-0001</t>
  </si>
  <si>
    <t>대표성과소개서 작성</t>
  </si>
  <si>
    <t>2025-01-22(16:47) ~ 2025-01-22(19:50)</t>
  </si>
  <si>
    <t>사채납입 계약 대행 업무 진행으로 인한 초과 근무</t>
  </si>
  <si>
    <t>2025-01-21(16:09) ~ 2025-01-21(18:12)</t>
  </si>
  <si>
    <t>2.00시간</t>
  </si>
  <si>
    <t>- 코드 수정</t>
  </si>
  <si>
    <t>2025-01-20(17:30) ~ 2025-01-20(19:30)</t>
  </si>
  <si>
    <t>AD팀</t>
  </si>
  <si>
    <t>서강희</t>
  </si>
  <si>
    <t>22060201</t>
  </si>
  <si>
    <t>2025-01-20</t>
  </si>
  <si>
    <t>250120 서강희 유연근무 신청</t>
  </si>
  <si>
    <t>뉴로핏 주식회사-250120-AD팀-0003</t>
  </si>
  <si>
    <t>AQUA AD 3.0 환자 목록 기능 구현, DHF 작성, AQUA AD 1.0 VOC 이슈 대응 및 버전 릴리즈</t>
  </si>
  <si>
    <t>2025-01-20(18:45) ~ 2025-01-20(20:45)</t>
  </si>
  <si>
    <t>UX팀</t>
  </si>
  <si>
    <t>강해인</t>
  </si>
  <si>
    <t>21071901</t>
  </si>
  <si>
    <t>2025-01-21</t>
  </si>
  <si>
    <t>250120 UX팀 강해인 유연근무 신청</t>
  </si>
  <si>
    <t>뉴로핏 주식회사-250120-UX팀-0002</t>
  </si>
  <si>
    <t>AD 3.0 보고서 기획안 작성</t>
  </si>
  <si>
    <t>2025-01-18(10:45) ~ 2025-01-18(16:00)</t>
  </si>
  <si>
    <t>5.30시간</t>
  </si>
  <si>
    <t>마케팅팀</t>
  </si>
  <si>
    <t>이승주</t>
  </si>
  <si>
    <t>23072601</t>
  </si>
  <si>
    <t>250118_마케팅팀(이승주) 초과 근무 신청</t>
  </si>
  <si>
    <t>뉴로핏 주식회사-250120-마케팅-0002</t>
  </si>
  <si>
    <t>조달청 사업 계획서 작성</t>
  </si>
  <si>
    <t>2025-01-17(17:30) ~ 2025-01-17(21:30)</t>
  </si>
  <si>
    <t>2025-01-18</t>
  </si>
  <si>
    <t>250117 서강희 유연근무 신청</t>
  </si>
  <si>
    <t>뉴로핏 주식회사-250117-AD팀-0002</t>
  </si>
  <si>
    <t>AQUA AD 3.0 환자 목록 기능 구현, DHF 작성, AQUA AD 1.0 VOC 이슈 대응</t>
  </si>
  <si>
    <t>2025-01-17(18:25) ~ 2025-01-17(20:55)</t>
  </si>
  <si>
    <t>QA팀</t>
  </si>
  <si>
    <t>김정인</t>
  </si>
  <si>
    <t>24080101</t>
  </si>
  <si>
    <t>250117_김정인_탄력근무신청</t>
  </si>
  <si>
    <t>뉴로핏 주식회사-250117-QA-0001</t>
  </si>
  <si>
    <t>내부감사 준비로 인한 초과근무</t>
  </si>
  <si>
    <t>2025-01-17(18:02) ~ 2025-01-17(20:20)</t>
  </si>
  <si>
    <t>임상팀</t>
  </si>
  <si>
    <t>이승은</t>
  </si>
  <si>
    <t>21031501</t>
  </si>
  <si>
    <t>2025-01-24</t>
  </si>
  <si>
    <t>250117_이승은_유연근무 신청의 건</t>
  </si>
  <si>
    <t>뉴로핏 주식회사-250124-임상팀-0004</t>
  </si>
  <si>
    <t>tESplan Plus 확증 임상 자료 정리</t>
  </si>
  <si>
    <t>2025-01-16(14:00) ~ 2025-01-16(17:01)</t>
  </si>
  <si>
    <t>뇌자극팀</t>
  </si>
  <si>
    <t>홍락균</t>
  </si>
  <si>
    <t>24022001</t>
  </si>
  <si>
    <t>2025-01-16</t>
  </si>
  <si>
    <t>250111_뇌자극팀_홍락균_초과근무신청서</t>
  </si>
  <si>
    <t>뉴로핏 주식회사-250116-뇌자극팀-0004</t>
  </si>
  <si>
    <t>대한인지중재치료학회 교육 워크샵 지원</t>
  </si>
  <si>
    <t>2025-01-16(17:22) ~ 2025-01-16(21:15)</t>
  </si>
  <si>
    <t>3.90시간</t>
  </si>
  <si>
    <t>송단비</t>
  </si>
  <si>
    <t>20070103</t>
  </si>
  <si>
    <t>250114,16_송단비_유연근무 신청의 건 (초과근로)</t>
  </si>
  <si>
    <t>뉴로핏 주식회사-250124-임상팀-0003</t>
  </si>
  <si>
    <t>과제 신청서 작성, CRF 개발</t>
  </si>
  <si>
    <t>2025-01-16(04:00) ~ 2025-01-16(09:00)</t>
  </si>
  <si>
    <t>PM팀</t>
  </si>
  <si>
    <t>허웅</t>
  </si>
  <si>
    <t>23120402</t>
  </si>
  <si>
    <t>2025-01-16_PM팀(허웅)_초과근무신청</t>
  </si>
  <si>
    <t>뉴로핏 주식회사-250204-PM팀-0003</t>
  </si>
  <si>
    <t>강원도 고성군보건소 출장</t>
  </si>
  <si>
    <t>2025-01-16(18:00) ~ 2025-01-16(22:00)</t>
  </si>
  <si>
    <t>2025-01-16_PM팀(허웅)_초과근무신청 (오후)</t>
  </si>
  <si>
    <t>뉴로핏 주식회사-250204-PM팀-0004</t>
  </si>
  <si>
    <t>2025-01-15(17:30) ~ 2025-01-15(21:30)</t>
  </si>
  <si>
    <t>2025-01-15</t>
  </si>
  <si>
    <t>250115 서강희 유연근무 신청</t>
  </si>
  <si>
    <t>뉴로핏 주식회사-250115-AD팀-0003</t>
  </si>
  <si>
    <t>AQUA AD 3.0 환자 목록 기능 구현, 개발 환경 설정, DHF 작성</t>
  </si>
  <si>
    <t>2025-01-15(17:38) ~ 2025-01-15(21:17)</t>
  </si>
  <si>
    <t>3.60시간</t>
  </si>
  <si>
    <t>황수영</t>
  </si>
  <si>
    <t>24070101</t>
  </si>
  <si>
    <t>2025-01-17</t>
  </si>
  <si>
    <t>250115_임상팀 황수영_유연근무 신청의 건</t>
  </si>
  <si>
    <t>뉴로핏 주식회사-250116-임상팀-0002</t>
  </si>
  <si>
    <t>C25_M1 연구계획서 작성</t>
  </si>
  <si>
    <t>2025-01-14(17:45) ~ 2025-01-14(19:45)</t>
  </si>
  <si>
    <t>2025-01-14</t>
  </si>
  <si>
    <t>250114 서강희 유연근무 신청</t>
  </si>
  <si>
    <t>뉴로핏 주식회사-250114-AD팀-0001</t>
  </si>
  <si>
    <t>AQUA AD 3.0 환자 목록 기능 리뷰 및 문서 작성, 개발 환경 설정, DHF 작성</t>
  </si>
  <si>
    <t>2025-01-14(16:50) ~ 2025-01-14(19:15)</t>
  </si>
  <si>
    <t>2.40시간</t>
  </si>
  <si>
    <t>송영지</t>
  </si>
  <si>
    <t>24020102</t>
  </si>
  <si>
    <t>20250114_송영지_유연근무 신청의 건 (초과근로)</t>
  </si>
  <si>
    <t>뉴로핏 주식회사-250120-임상팀-0005</t>
  </si>
  <si>
    <t>경희대 SCALE MRI Reader study 연구계획서 작성</t>
  </si>
  <si>
    <t>2025-01-14(16:47) ~ 2025-01-14(19:19)</t>
  </si>
  <si>
    <t>과제 신청서 작성</t>
  </si>
  <si>
    <t>2025-01-13(17:30) ~ 2025-01-13(19:30)</t>
  </si>
  <si>
    <t>250113 서강희 유연근무 신청</t>
  </si>
  <si>
    <t>뉴로핏 주식회사-250113-AD팀-0004</t>
  </si>
  <si>
    <t>AQUA AD 3.0 환자 목록 기능 리뷰 및 문서 작성, 개발 환경 설정, DHF 작성을 위한 분석 파이프라인 정의</t>
  </si>
  <si>
    <t>2025-01-13(19:09) ~ 2025-01-13(22:09)</t>
  </si>
  <si>
    <t>권혜지</t>
  </si>
  <si>
    <t>21101801</t>
  </si>
  <si>
    <t>2025-1-13 PM팀(권혜지)_초과근무신청</t>
  </si>
  <si>
    <t>뉴로핏 주식회사-250113-PM팀-0001</t>
  </si>
  <si>
    <t>코스닥 상장예비심사신청서_제품 현황 작성</t>
  </si>
  <si>
    <t>2025-01-13(16:49) ~ 2025-01-13(18:59)</t>
  </si>
  <si>
    <t>2.20시간</t>
  </si>
  <si>
    <t>NR2팀</t>
  </si>
  <si>
    <t>박현규</t>
  </si>
  <si>
    <t>24061702</t>
  </si>
  <si>
    <t>250113_NR2팀_박현규_초과근무 신청</t>
  </si>
  <si>
    <t>뉴로핏 주식회사-250114-NR2팀-0002</t>
  </si>
  <si>
    <t>AQUA AD 보고서 기획 및 경희의료원 VOC 업무</t>
  </si>
  <si>
    <t>2025-01-11(13:40) ~ 2025-01-11(15:55)</t>
  </si>
  <si>
    <t>2025-01-13</t>
  </si>
  <si>
    <t>20250111_AR2팀(양현식)_유연근무신청서(초과근무)</t>
  </si>
  <si>
    <t>뉴로핏 주식회사-250113-AR2팀-0001</t>
  </si>
  <si>
    <t>CTP 특허 초안 검토 및 최종화</t>
  </si>
  <si>
    <t>2025-01-11(10:43) ~ 2025-01-11(15:54)</t>
  </si>
  <si>
    <t>5.20시간</t>
  </si>
  <si>
    <t>250111_마케팅팀(이승주) 초과 근무 신청</t>
  </si>
  <si>
    <t>뉴로핏 주식회사-250113-마케팅-0001</t>
  </si>
  <si>
    <t>조달청 시범구매사업 계획서 작성</t>
  </si>
  <si>
    <t>2025-01-11(13:50) ~ 2025-01-11(17:00)</t>
  </si>
  <si>
    <t>250106,11_송단비_유연근무 신청의 건 (초과근로)</t>
  </si>
  <si>
    <t>뉴로핏 주식회사-250113-임상팀-0002</t>
  </si>
  <si>
    <t>인지중재치료학회 워크샵 지원</t>
  </si>
  <si>
    <t>250109,11_임상팀 황수영_유연근무 신청의 건</t>
  </si>
  <si>
    <t>뉴로핏 주식회사-250113-임상팀-0005</t>
  </si>
  <si>
    <t>인지중재치료학회 hands-on 워크샵 지원</t>
  </si>
  <si>
    <t>2025-01-10(17:30) ~ 2025-01-10(20:30)</t>
  </si>
  <si>
    <t>250110 서강희 유연근무 신청</t>
  </si>
  <si>
    <t>뉴로핏 주식회사-250110-AD팀-0001</t>
  </si>
  <si>
    <t>AQUA AD 3.0 환자 목록 기능 리뷰 및 문서 작성, DHF 작성을 위한 분석 파이프라인 정의</t>
  </si>
  <si>
    <t>2025-01-09(17:43) ~ 2025-01-09(20:43)</t>
  </si>
  <si>
    <t>SCALE PET 시놉시스 통계 검토 및 아주대 미팅자료 준비</t>
  </si>
  <si>
    <t>2025-01-08(16:30) ~ 2025-01-08(18:30)</t>
  </si>
  <si>
    <t>사업개발팀</t>
  </si>
  <si>
    <t>이혜신</t>
  </si>
  <si>
    <t>23082801</t>
  </si>
  <si>
    <t>2025-01-09</t>
  </si>
  <si>
    <t>250108 이혜신 사업개발팀 유연근무 신청서</t>
  </si>
  <si>
    <t>뉴로핏 주식회사-250109-사업개발팀-0002</t>
  </si>
  <si>
    <t>Deepc 미팅 참석</t>
  </si>
  <si>
    <t>2025-01-08(18:12) ~ 2025-01-08(20:15)</t>
  </si>
  <si>
    <t>RA팀</t>
  </si>
  <si>
    <t>김별이</t>
  </si>
  <si>
    <t>20100501</t>
  </si>
  <si>
    <t>250108_김별이_초과근무 신청</t>
  </si>
  <si>
    <t>뉴로핏 주식회사-250117-인증-0002</t>
  </si>
  <si>
    <t>디지털의료제품법 하위 고시 분석 및 1차 인사평가 진행</t>
  </si>
  <si>
    <t>2025-01-08(16:30) ~ 2025-01-08(18:50)</t>
  </si>
  <si>
    <t>Platform팀</t>
  </si>
  <si>
    <t>성형모</t>
  </si>
  <si>
    <t>22022101</t>
  </si>
  <si>
    <t>20250120_유연근무신청서_성형모</t>
  </si>
  <si>
    <t>뉴로핏 주식회사-250120-Platform팀-0001</t>
  </si>
  <si>
    <t>PET에서 Brain 3D 이미지 생성 서비스 관련하여 발생한 버그건을 다음 MV가 시작하기 전에 처리하기 위해 탄력근무를 신청</t>
  </si>
  <si>
    <t>2025-01-07(19:40) ~ 2025-01-07(22:40)</t>
  </si>
  <si>
    <t>PET팀</t>
  </si>
  <si>
    <t>김상덕</t>
  </si>
  <si>
    <t>22110701</t>
  </si>
  <si>
    <t>20250107_김상덕_초과근무</t>
  </si>
  <si>
    <t>뉴로핏 주식회사-250110-PET팀-0002</t>
  </si>
  <si>
    <t>ScalePet 2.1 MV #2차를 위한 빌드</t>
  </si>
  <si>
    <t>2025-01-07(16:00) ~ 2025-01-07(20:00)</t>
  </si>
  <si>
    <t>CTP MV 버그 처리 및 PET MV 버그 처리 건이 ASAP으로 진행되어야 하는 관계로 탄력 근무를 신청</t>
  </si>
  <si>
    <t>2025-01-06(17:30) ~ 2025-01-06(20:00)</t>
  </si>
  <si>
    <t>2025-01-07</t>
  </si>
  <si>
    <t>250106_뇌자극팀_홍락균_초과근무신청서</t>
  </si>
  <si>
    <t>뉴로핏 주식회사-250107-뇌자극팀-0001</t>
  </si>
  <si>
    <t>2025-01-06(18:11) ~ 2025-01-06(20:19)</t>
  </si>
  <si>
    <t>2.10시간</t>
  </si>
  <si>
    <t>장한나</t>
  </si>
  <si>
    <t>21122001</t>
  </si>
  <si>
    <t>2025-01-10</t>
  </si>
  <si>
    <t>20250106_임상팀 장한나_유연근무 신청의 건</t>
  </si>
  <si>
    <t>뉴로핏 주식회사-250110-임상팀-0004</t>
  </si>
  <si>
    <t>tDCS 정기미팅 및 S02 CRF 작성</t>
  </si>
  <si>
    <t>2025-01-06(17:20) ~ 2025-01-06(20:19)</t>
  </si>
  <si>
    <t>C03 / C12 / tDCS 연구자미팅</t>
  </si>
  <si>
    <t>2025-01-06(18:15) ~ 2025-01-06(20:19)</t>
  </si>
  <si>
    <t>250106_임상팀 이승은_유연근무 신청의 건</t>
  </si>
  <si>
    <t>뉴로핏 주식회사-250113-임상팀-0006</t>
  </si>
  <si>
    <t>tDCS 연구자 정기미팅, 식약처 상담 내용 정리</t>
  </si>
  <si>
    <t>2025-01-06(17:06) ~ 2025-01-06(19:11)</t>
  </si>
  <si>
    <t>250114_AR2팀_김도연_초과근무 신청</t>
  </si>
  <si>
    <t>뉴로핏 주식회사-250114-AR2팀-0001</t>
  </si>
  <si>
    <t>box regression 조건 변경 후 실험</t>
  </si>
  <si>
    <t>2025-01-03(18:39) ~ 2025-01-03(20:39)</t>
  </si>
  <si>
    <t>2025-01-06</t>
  </si>
  <si>
    <t>20250103_김상덕_초과근무</t>
  </si>
  <si>
    <t>뉴로핏 주식회사-250103-PET팀-0002</t>
  </si>
  <si>
    <t>ScalePet 2.1 MV2차 를 위한 insaller build 및 테스트</t>
  </si>
  <si>
    <t>2025-01-03(16:00) ~ 2025-01-03(18:30)</t>
  </si>
  <si>
    <t>SV팀</t>
  </si>
  <si>
    <t>김가희</t>
  </si>
  <si>
    <t>22011702</t>
  </si>
  <si>
    <t>250103_SV팀(김가희)_유연근무 신청</t>
  </si>
  <si>
    <t>뉴로핏 주식회사-250103-SV팀-0002</t>
  </si>
  <si>
    <t>SCALE CTP 1.0 MV 2차 검증</t>
  </si>
  <si>
    <t>2025-01-02(16:30) ~ 2025-01-02(19:30)</t>
  </si>
  <si>
    <t>조용우</t>
  </si>
  <si>
    <t>22041101</t>
  </si>
  <si>
    <t>2025-01-02</t>
  </si>
  <si>
    <t>[20250102]QA팀 조용우 초과 근무 신청</t>
  </si>
  <si>
    <t>뉴로핏 주식회사-250102-QA-0001</t>
  </si>
  <si>
    <t>MDSAP 후속 조치 및 디지털의료제품법 적용 준</t>
  </si>
  <si>
    <t>2025-01-02(17:15) ~ 2025-01-02(20:10)</t>
  </si>
  <si>
    <t>Vascular팀</t>
  </si>
  <si>
    <t>조은혜</t>
  </si>
  <si>
    <t>22040101</t>
  </si>
  <si>
    <t>250103_조은혜_유연근무신청서</t>
  </si>
  <si>
    <t>뉴로핏 주식회사-250103-Vascular팀-0002</t>
  </si>
  <si>
    <t>SCALE CTP vulnerability issue fix</t>
  </si>
  <si>
    <t>2025-01-02(17:34) ~ 2025-01-02(19:08)</t>
  </si>
  <si>
    <t>1.60시간</t>
  </si>
  <si>
    <t>서충원</t>
  </si>
  <si>
    <t>24011503</t>
  </si>
  <si>
    <t>2025-01-03</t>
  </si>
  <si>
    <t>250102_mkt(서충원)_초과근무내역</t>
  </si>
  <si>
    <t>뉴로핏 주식회사-250103-마케팅-0001</t>
  </si>
  <si>
    <t>MS 부스 디자인 작업</t>
  </si>
  <si>
    <t>2025-01-02(19:00) ~ 2025-01-02(22:15)</t>
  </si>
  <si>
    <t>NR1팀</t>
  </si>
  <si>
    <t>박지은</t>
  </si>
  <si>
    <t>24031101</t>
  </si>
  <si>
    <t>2025-01-08</t>
  </si>
  <si>
    <t>250102_NR1팀_박지은_유연근무신청(초과근무)</t>
  </si>
  <si>
    <t>뉴로핏 주식회사-250108-NR1팀-0001</t>
  </si>
  <si>
    <t>질병청 DTI preprocessing</t>
  </si>
  <si>
    <t>25년 2월</t>
    <phoneticPr fontId="4" type="noConversion"/>
  </si>
  <si>
    <t>2025-01-13(17:32) ~ 2025-01-13(20:28)</t>
  </si>
  <si>
    <t>IR팀</t>
  </si>
  <si>
    <t>유용성</t>
  </si>
  <si>
    <t>24101401</t>
  </si>
  <si>
    <t>2025-02-14</t>
  </si>
  <si>
    <t>202501_유용성(IR팀)_초과 근무 신처</t>
  </si>
  <si>
    <t>뉴로핏 주식회사-250214-IR팀-0003</t>
  </si>
  <si>
    <t>우선주 전환을 위한 예탁원 사선짐사 자료 작업</t>
  </si>
  <si>
    <t>2025-01-15(17:34) ~ 2025-01-15(19:39)</t>
  </si>
  <si>
    <t>우선주 전환을 위한 예탁원 사전심사 자료 작업</t>
  </si>
  <si>
    <t>2025-01-22(17:33) ~ 2025-01-22(21:15)</t>
  </si>
  <si>
    <t>3.70시간</t>
  </si>
  <si>
    <t>2025-01-23(17:20) ~ 2025-01-23(22:18)</t>
  </si>
  <si>
    <t>2025-01-24(12:24) ~ 2025-01-24(15:38)</t>
  </si>
  <si>
    <t>2025-03-11</t>
  </si>
  <si>
    <t>202502_유용성(IR팀)_초과 근무 신청</t>
  </si>
  <si>
    <t>뉴로핏 주식회사-250311-IR팀-0001</t>
  </si>
  <si>
    <t>예심신청서, 투자기관 요청 대응 등</t>
  </si>
  <si>
    <t>2025-01-31(17:28) ~ 2025-01-31(20:34)</t>
  </si>
  <si>
    <t>2025-02-01(16:30) ~ 2025-02-01(18:47)</t>
  </si>
  <si>
    <t>AR2팀</t>
  </si>
  <si>
    <t>이지연</t>
  </si>
  <si>
    <t>20102901</t>
  </si>
  <si>
    <t>2025-02-08</t>
  </si>
  <si>
    <t>250201_AR2팀(이지연)_유연근무(초과근무)</t>
  </si>
  <si>
    <t>뉴로핏 주식회사-250207-AR2팀-0001</t>
  </si>
  <si>
    <t>250203 서울성모병원 외근 준비를 위한 데이터 정리</t>
  </si>
  <si>
    <t>2025-02-01(17:20) ~ 2025-02-01(20:05)</t>
  </si>
  <si>
    <t>- 요청 데이터 결과 확인, loss 변경 후 실험</t>
  </si>
  <si>
    <t>2025-02-03(16:00) ~ 2025-02-03(18:38)</t>
  </si>
  <si>
    <t>2.60시간</t>
  </si>
  <si>
    <t>2025-02-10</t>
  </si>
  <si>
    <t>250207_자금팀(문시현)_초과근무 신청의 건</t>
  </si>
  <si>
    <t>뉴로핏 주식회사-250210-자금팀-0001</t>
  </si>
  <si>
    <t>정기예금 개설 및 통장전표 전송</t>
  </si>
  <si>
    <t>2025-02-03(16:13) ~ 2025-02-03(18:13)</t>
  </si>
  <si>
    <t>AQUA팀</t>
  </si>
  <si>
    <t>이승룡</t>
  </si>
  <si>
    <t>22121901</t>
  </si>
  <si>
    <t>250203_AQUA팀_이승룡_유연근무 신청</t>
  </si>
  <si>
    <t>뉴로핏 주식회사-250203-AQUA팀-0002</t>
  </si>
  <si>
    <t>AQUA 3.2 Engin 및 신규 Version의 Input Parmeters 검증 및 Engine Cloud 반영 요청</t>
  </si>
  <si>
    <t>2025-02-03(16:34) ~ 2025-02-03(18:38)</t>
  </si>
  <si>
    <t>회계팀</t>
  </si>
  <si>
    <t>한보람</t>
  </si>
  <si>
    <t>24041101</t>
  </si>
  <si>
    <t>250207 한보람 초과근무신청</t>
  </si>
  <si>
    <t>뉴로핏 주식회사-250210-회계팀-0001</t>
  </si>
  <si>
    <t>원천세 신고 및 연말정산</t>
  </si>
  <si>
    <t>2025-02-03(17:06) ~ 2025-02-03(21:36)</t>
  </si>
  <si>
    <t>4.50시간</t>
  </si>
  <si>
    <t>서영일</t>
  </si>
  <si>
    <t>21042601</t>
  </si>
  <si>
    <t>250203_PET팀(서영일)_초과근무신청서</t>
  </si>
  <si>
    <t>뉴로핏 주식회사-250204-PET팀-0001</t>
  </si>
  <si>
    <t>SCALE PET MV 오류 대응 및 installer 생성</t>
  </si>
  <si>
    <t>2025-02-03(18:15) ~ 2025-02-03(20:45)</t>
  </si>
  <si>
    <t>전만재</t>
  </si>
  <si>
    <t>22021404</t>
  </si>
  <si>
    <t>250203_AQUA팀_전만재_유연근무 신청</t>
  </si>
  <si>
    <t>뉴로핏 주식회사-250203-AQUA팀-0003</t>
  </si>
  <si>
    <t>AQUA 3.2 일정 준수</t>
  </si>
  <si>
    <t>2025-02-04(17:00) ~ 2025-02-04(21:00)</t>
  </si>
  <si>
    <t>2025-02-15</t>
  </si>
  <si>
    <t>250204_AQUA팀_이승룡 유연근무 신청</t>
  </si>
  <si>
    <t>뉴로핏 주식회사-250214-AQUA팀-0001</t>
  </si>
  <si>
    <t>Neo 기반 AQUA 3.2 Task의 In/Out Data 저장 개발</t>
  </si>
  <si>
    <t>2025-02-04(17:16) ~ 2025-02-04(19:16)</t>
  </si>
  <si>
    <t>250204_AQUA팀_전만재_유연근무 신청</t>
  </si>
  <si>
    <t>뉴로핏 주식회사-250204-AQUA팀-0001</t>
  </si>
  <si>
    <t>2025-02-04(17:30) ~ 2025-02-04(19:30)</t>
  </si>
  <si>
    <t>250204 서강희 유연근무 신청</t>
  </si>
  <si>
    <t>뉴로핏 주식회사-250204-AD팀-0001</t>
  </si>
  <si>
    <t>AQUA AD 3.0 분석 요청 기능 개발 문서 작성 및 기능 구현, AQUA AD 1.0.1 DHF 작성</t>
  </si>
  <si>
    <t>2025-02-04(17:35) ~ 2025-02-04(19:45)</t>
  </si>
  <si>
    <t>2025-02-17</t>
  </si>
  <si>
    <t>20250204_송영지_유연근무 신청의 건 (초과근로)</t>
  </si>
  <si>
    <t>뉴로핏 주식회사-250214-임상팀-0001</t>
  </si>
  <si>
    <t>경희대 SCALE MRI Reader study 개시모임 자료 제작</t>
  </si>
  <si>
    <t>2025-02-04(17:41) ~ 2025-02-04(19:29)</t>
  </si>
  <si>
    <t>1.80시간</t>
  </si>
  <si>
    <t>2025-02-04(20:28) ~ 2025-02-04(23:04)</t>
  </si>
  <si>
    <t>2025-02-05</t>
  </si>
  <si>
    <t>20250204 류준환 유연근무청서 (초과근무)</t>
  </si>
  <si>
    <t>뉴로핏 주식회사-250205-AR1팀-0001</t>
  </si>
  <si>
    <t>ARIA-E 모델 고도화관련 및 FDA 인증인허가 업무</t>
  </si>
  <si>
    <t>2025-02-05(16:00) ~ 2025-02-05(18:01)</t>
  </si>
  <si>
    <t>2025-02-07</t>
  </si>
  <si>
    <t>250207_연구기획팀(박인영)_2월 2주 초과근무신청의 건</t>
  </si>
  <si>
    <t>뉴로핏 주식회사-250207-연구기획-0003</t>
  </si>
  <si>
    <t>상장신청자료작성(인사팀요청)</t>
  </si>
  <si>
    <t>2025-02-05(16:00) ~ 2025-02-05(19:20)</t>
  </si>
  <si>
    <t>연말정산</t>
  </si>
  <si>
    <t>2025-02-05(16:09) ~ 2025-02-05(19:21)</t>
  </si>
  <si>
    <t>2025-02-05(16:39) ~ 2025-02-05(19:40)</t>
  </si>
  <si>
    <t>2025-02-06</t>
  </si>
  <si>
    <t>250205_AR1팀(김다현)_유연근무(초과근무)</t>
  </si>
  <si>
    <t>뉴로핏 주식회사-250206-AR1팀-0001</t>
  </si>
  <si>
    <t>SEG-03 fine-tuning 실험, 신경섬유종 미팅 준비</t>
  </si>
  <si>
    <t>2025-02-05(17:00) ~ 2025-02-05(20:00)</t>
  </si>
  <si>
    <t>2025-02-05(17:30) ~ 2025-02-05(20:13)</t>
  </si>
  <si>
    <t>2025-02-05(17:30) ~ 2025-02-05(21:30)</t>
  </si>
  <si>
    <t>250205 서강희 유연근무 신청</t>
  </si>
  <si>
    <t>뉴로핏 주식회사-250205-AD팀-0003</t>
  </si>
  <si>
    <t>AQUA AD 3.0 분석 요청 기능 개발 문서 작성 및 기능 구현, AQUA AD 3.0 NeuroEngine 적용</t>
  </si>
  <si>
    <t>2025-02-05(17:32) ~ 2025-02-05(18:35)</t>
  </si>
  <si>
    <t>1.10시간</t>
  </si>
  <si>
    <t>2025-02-11</t>
  </si>
  <si>
    <t>250205,250207_mkt(서충원)_초과근무신청</t>
  </si>
  <si>
    <t>뉴로핏 주식회사-250211-마케팅-0001</t>
  </si>
  <si>
    <t>AQUA MS 브로슈어 제작의 건</t>
  </si>
  <si>
    <t>2025-02-05(18:40) ~ 2025-02-05(21:20)</t>
  </si>
  <si>
    <t>최영심</t>
  </si>
  <si>
    <t>22030205</t>
  </si>
  <si>
    <t>250204_최영심_유연근무신청서(초과근무)</t>
  </si>
  <si>
    <t>뉴로핏 주식회사-250205-NR1팀-0001</t>
  </si>
  <si>
    <t>PET2.0 FDA 보완 PTR 문서작성 및 근거 탐색</t>
  </si>
  <si>
    <t>2025-02-06(16:00) ~ 2025-02-06(18:01)</t>
  </si>
  <si>
    <t>2025-02-06(16:09) ~ 2025-02-06(18:21)</t>
  </si>
  <si>
    <t>2025-02-06(16:32) ~ 2025-02-06(19:02)</t>
  </si>
  <si>
    <t>250206_AQUA팀_전만재_유연근무 신청</t>
  </si>
  <si>
    <t>뉴로핏 주식회사-250206-AQUA팀-0002</t>
  </si>
  <si>
    <t>AQUA 3.2 개발 일정 준수</t>
  </si>
  <si>
    <t>2025-02-06(16:35) ~ 2025-02-06(18:35)</t>
  </si>
  <si>
    <t>250206_AQUA팀_이승룡 유연근무신청</t>
  </si>
  <si>
    <t>뉴로핏 주식회사-250206-AQUA팀-0001</t>
  </si>
  <si>
    <t>Neo 변경된 환경에 대한 Docker Setup, Scale CTP Debug 환경 구성</t>
  </si>
  <si>
    <t>2025-02-06(16:38) ~ 2025-02-06(18:38)</t>
  </si>
  <si>
    <t>250206_뇌자극팀_홍락균_초과근무신청서</t>
  </si>
  <si>
    <t>뉴로핏 주식회사-250207-뇌자극팀-0001</t>
  </si>
  <si>
    <t>Innk02 전류 동등성 보고서 작성</t>
  </si>
  <si>
    <t>2025-02-06(17:27) ~ 2025-02-06(19:26)</t>
  </si>
  <si>
    <t>2025-02-06(18:00) ~ 2025-02-06(22:00)</t>
  </si>
  <si>
    <t>250206 서강희 유연근무 신청</t>
  </si>
  <si>
    <t>뉴로핏 주식회사-250206-AD팀-0002</t>
  </si>
  <si>
    <t>AQUA AD 3.0 선택 환자 이미지 상세 정보 문서 작성 및 기능 구현, AQUA AD 3.0 NeuroEngine 적용</t>
  </si>
  <si>
    <t>2025-02-06(18:45) ~ 2025-02-06(21:08)</t>
  </si>
  <si>
    <t>250206_최영심_초과근무신청서</t>
  </si>
  <si>
    <t>뉴로핏 주식회사-250207-NR1팀-0001</t>
  </si>
  <si>
    <t>FDA 1차보완 PTR 작성</t>
  </si>
  <si>
    <t>2025-02-06(20:58) ~ 2025-02-06(23:10)</t>
  </si>
  <si>
    <t>20250206 류준환 유연근무청서 (초과근무)</t>
  </si>
  <si>
    <t>뉴로핏 주식회사-250207-AR1팀-0004</t>
  </si>
  <si>
    <t>FDA 인증인허가 작업 (ARIA-E / ARIA-H 데이터 확정작업)</t>
  </si>
  <si>
    <t>2025-02-07(16:00) ~ 2025-02-07(18:59)</t>
  </si>
  <si>
    <t>2025-02-07(16:09) ~ 2025-02-07(19:00)</t>
  </si>
  <si>
    <t>2025-02-07(17:20) ~ 2025-02-07(19:28)</t>
  </si>
  <si>
    <t>2025-02-07(18:40) ~ 2025-02-07(20:40)</t>
  </si>
  <si>
    <t>250207_AQUA팀_전만재_유연근무 신청</t>
  </si>
  <si>
    <t>뉴로핏 주식회사-250207-AQUA팀-0003</t>
  </si>
  <si>
    <t>2025-02-08(15:03) ~ 2025-02-08(17:03)</t>
  </si>
  <si>
    <t>20250208_AR3팀_양현식_유연근무신청서(초과근무)</t>
  </si>
  <si>
    <t>뉴로핏 주식회사-250210-AR3팀-0002</t>
  </si>
  <si>
    <t>CTP 특허 기획 정리 및 다이어그램 작성</t>
  </si>
  <si>
    <t>2025-02-08(23:09) ~ 2025-02-08(23:59)</t>
  </si>
  <si>
    <t>0.80시간</t>
  </si>
  <si>
    <t>250208, 250209 AR1팀 조상영 유연근무 신청서 (초과근무)</t>
  </si>
  <si>
    <t>뉴로핏 주식회사-250210-AR1팀-0002</t>
  </si>
  <si>
    <t>AQUA AD 3.0 엔진 모델 학습 및 외부 데이터 검증 작업</t>
  </si>
  <si>
    <t>2025-02-10(00:00) ~ 2025-02-10(01:11)</t>
  </si>
  <si>
    <t>1.20시간</t>
  </si>
  <si>
    <t>2025-02-10(17:30) ~ 2025-02-10(19:30)</t>
  </si>
  <si>
    <t>250210 서강희 유연근무 신청</t>
  </si>
  <si>
    <t>뉴로핏 주식회사-250210-AD팀-0002</t>
  </si>
  <si>
    <t>2025-02-10(18:10) ~ 2025-02-10(20:10)</t>
  </si>
  <si>
    <t>조은경</t>
  </si>
  <si>
    <t>22042501</t>
  </si>
  <si>
    <t>250210_UX팀 조은경_유연근무 신청서</t>
  </si>
  <si>
    <t>뉴로핏 주식회사-250211-UX팀-0001</t>
  </si>
  <si>
    <t>AD 3.0 디자인 시안 제작</t>
  </si>
  <si>
    <t>2025-02-11(16:00) ~ 2025-02-11(20:00)</t>
  </si>
  <si>
    <t>250211_AQUA팀_이승룡_유연근무 신청</t>
  </si>
  <si>
    <t>뉴로핏 주식회사-250211-AQUA팀-0001</t>
  </si>
  <si>
    <t>Neo에 T1 Sequence를 위한 Analyzer, Creator, Loader 클래스 추가</t>
  </si>
  <si>
    <t>2025-02-11(17:01) ~ 2025-02-11(19:10)</t>
  </si>
  <si>
    <t>250211,250212,250213_MKT(서충원)_초과근무신청</t>
  </si>
  <si>
    <t>뉴로핏 주식회사-250214-마케팅-0003</t>
  </si>
  <si>
    <t>AQUA MS 브로슈어 건</t>
  </si>
  <si>
    <t>2025-02-11(17:24) ~ 2025-02-11(19:28)</t>
  </si>
  <si>
    <t>2025-02-11(17:30) ~ 2025-02-11(19:30)</t>
  </si>
  <si>
    <t>250211 서강희 유연근무 신청</t>
  </si>
  <si>
    <t>뉴로핏 주식회사-250211-AD팀-0001</t>
  </si>
  <si>
    <t>AQUA AD 3.0 NeuroEngine 적용, 분석 결과 및 이미지 저장 위치 수정, 이미지 처리 Task 구현</t>
  </si>
  <si>
    <t>2025-02-11(18:09) ~ 2025-02-11(21:43)</t>
  </si>
  <si>
    <t>강슬기</t>
  </si>
  <si>
    <t>20100502</t>
  </si>
  <si>
    <t>2025-02-21</t>
  </si>
  <si>
    <t>250211_UX팀(강슬기)_유연근무신청서</t>
  </si>
  <si>
    <t>뉴로핏 주식회사-250220-UX팀-0001</t>
  </si>
  <si>
    <t>프로젝트팀과 협의한 2/12(수)까지 NEO 2.0 전 범위 워크플로우 작업 및 리뷰를 완료하기 위해 초과근무 신청하였습니다. 2/6~2/14까지 사내 및 외부에서 SCALE CTP 1.0 사용적합성 평가 수행으로 인해 NEO 2.0 업무에 지연이 발생하였습니다.</t>
  </si>
  <si>
    <t>2025-02-11(19:15) ~ 2025-02-11(21:15)</t>
  </si>
  <si>
    <t>2025-02-12</t>
  </si>
  <si>
    <t>250211_AQUA팀_전만재_유연근무 신청</t>
  </si>
  <si>
    <t>뉴로핏 주식회사-250211-AQUA팀-0002</t>
  </si>
  <si>
    <t>2025-02-12(16:30) ~ 2025-02-12(20:30)</t>
  </si>
  <si>
    <t>250212_AQUA팀_이승룡 유연근무 신청</t>
  </si>
  <si>
    <t>뉴로핏 주식회사-250212-AQUA팀-0001</t>
  </si>
  <si>
    <t>Neo Analysis에 T1 Image 등록 완료, Engine 관리 주체 변경으로 인한 대응</t>
  </si>
  <si>
    <t>2025-02-12(16:33) ~ 2025-02-12(18:35)</t>
  </si>
  <si>
    <t>Tech Ops팀</t>
  </si>
  <si>
    <t>김하진</t>
  </si>
  <si>
    <t>23072401</t>
  </si>
  <si>
    <t>2025-02-20</t>
  </si>
  <si>
    <t>250212,250216_김하진_유연근무신청서</t>
  </si>
  <si>
    <t>뉴로핏 주식회사-250220-테크옵스-0001</t>
  </si>
  <si>
    <t>경희대 SCALE MRI 연구환경 세팅 및 엔진 검증 준비</t>
  </si>
  <si>
    <t>2025-02-12(17:25) ~ 2025-02-12(20:27)</t>
  </si>
  <si>
    <t>2025-02-12(17:37) ~ 2025-02-12(18:53)</t>
  </si>
  <si>
    <t>1.30시간</t>
  </si>
  <si>
    <t>2025-02-12(18:00) ~ 2025-02-12(22:00)</t>
  </si>
  <si>
    <t>250212 서강희 유연근무 신청</t>
  </si>
  <si>
    <t>뉴로핏 주식회사-250212-AD팀-0001</t>
  </si>
  <si>
    <t>AQUA AD 3.0 NeuroEngine 적용, 분석 결과 및 이미지 저장 위치 수정, 분석 결과 summary 파일 생성 task 구현</t>
  </si>
  <si>
    <t>2025-02-13(16:05) ~ 2025-02-13(20:05)</t>
  </si>
  <si>
    <t>250213_AQUA팀_이승룡 유연근무 신청</t>
  </si>
  <si>
    <t>뉴로핏 주식회사-250213-AQUA팀-0001</t>
  </si>
  <si>
    <t>AQUA T1 Seg Engine의 Task 등록 및 Engine Gateway 에 request 요청</t>
  </si>
  <si>
    <t>2025-02-13(16:35) ~ 2025-02-13(18:48)</t>
  </si>
  <si>
    <t>250213_AR1팀(김다현)_유연근무(초과근무)</t>
  </si>
  <si>
    <t>뉴로핏 주식회사-250214-AR1팀-0001</t>
  </si>
  <si>
    <t>ARIA-H 업무지원, Low mask gt 생성 후 모델결과와 비교</t>
  </si>
  <si>
    <t>2025-02-13(17:24) ~ 2025-02-13(19:25)</t>
  </si>
  <si>
    <t>2025-02-13(17:30) ~ 2025-02-13(19:30)</t>
  </si>
  <si>
    <t>2025-02-13</t>
  </si>
  <si>
    <t>250213 서강희 유연근무 신청</t>
  </si>
  <si>
    <t>뉴로핏 주식회사-250213-AD팀-0001</t>
  </si>
  <si>
    <t>AQUA AD 3.0 NeuroEngine 적용, T1 분석 결과 summary 파일 생성 task 구현, FLAIR 분석 pipeline 구현</t>
  </si>
  <si>
    <t>2025-02-13(18:10) ~ 2025-02-13(19:21)</t>
  </si>
  <si>
    <t>2025-02-13(18:21) ~ 2025-02-13(22:06)</t>
  </si>
  <si>
    <t>3.80시간</t>
  </si>
  <si>
    <t>250213 이혜신 사업개발팀 유연근무 신청서</t>
  </si>
  <si>
    <t>뉴로핏 주식회사-250221-사업개발팀-0001</t>
  </si>
  <si>
    <t>상장예비심사신청서 작성</t>
  </si>
  <si>
    <t>2025-02-14(00:30) ~ 2025-02-14(02:30)</t>
  </si>
  <si>
    <t>250214 이혜신 사업개발팀 유연근무 신청서</t>
  </si>
  <si>
    <t>뉴로핏 주식회사-250221-사업개발팀-0002</t>
  </si>
  <si>
    <t>Bayer 미팅 참석 (SCALE PET 제품 소개 및 협력 가능성 논의)</t>
  </si>
  <si>
    <t>2025-02-14(17:30) ~ 2025-02-14(19:30)</t>
  </si>
  <si>
    <t>250214 서강희 유연근무 신청</t>
  </si>
  <si>
    <t>뉴로핏 주식회사-250214-AD팀-0001</t>
  </si>
  <si>
    <t>AQUA AD 3.0 NeuroEngine 적용, FLAIR 분석 pipeline 구현</t>
  </si>
  <si>
    <t>2025-02-14(22:59) ~ 2025-02-14(23:59)</t>
  </si>
  <si>
    <t>250214, 250215, 250216 AR1팀 조상영 유연근무 신청서 (초과근무)</t>
  </si>
  <si>
    <t>뉴로핏 주식회사-250217-AR1팀-0001</t>
  </si>
  <si>
    <t>SCALE MRI 리더스터디 데이터 준비, AQUA AD 3.0 FDA 초벌 작업, 모델 고도화, 엔진 디버깅</t>
  </si>
  <si>
    <t>2025-02-15(00:00) ~ 2025-02-15(01:38)</t>
  </si>
  <si>
    <t>2025-02-15(07:45) ~ 2025-02-15(11:15)</t>
  </si>
  <si>
    <t>3.50시간</t>
  </si>
  <si>
    <t>250215_AR3팀_김기연_유연근무신청서 (초과근무)</t>
  </si>
  <si>
    <t>뉴로핏 주식회사-250217-AR3팀-0003</t>
  </si>
  <si>
    <t>UnetHeatmap 실험 데이터 확인 및 조정</t>
  </si>
  <si>
    <t>2025-02-15(10:34) ~ 2025-02-15(16:34)</t>
  </si>
  <si>
    <t>6.00시간</t>
  </si>
  <si>
    <t>250215_AQUA팀_전만재_유연근무 신청</t>
  </si>
  <si>
    <t>뉴로핏 주식회사-250215-AQUA팀-0002</t>
  </si>
  <si>
    <t>2025-02-15(10:40) ~ 2025-02-15(12:50)</t>
  </si>
  <si>
    <t>20250215_AR3팀_양현식_유연근무(초과근무)신청서</t>
  </si>
  <si>
    <t>뉴로핏 주식회사-250217-AR3팀-0005</t>
  </si>
  <si>
    <t>gpu elastic deformation 구현 및 retinanet 셋팅, 실험 시작</t>
  </si>
  <si>
    <t>2025-02-15(10:40) ~ 2025-02-15(14:50)</t>
  </si>
  <si>
    <t>4.20시간</t>
  </si>
  <si>
    <t>20250217_AR3팀(김도연)_유연근무신청서</t>
  </si>
  <si>
    <t>뉴로핏 주식회사-250217-AR3팀-0001</t>
  </si>
  <si>
    <t>- 데이터 mapping 전달, 새 실험 계획 및 실행</t>
  </si>
  <si>
    <t>2025-02-15(18:38) ~ 2025-02-15(22:04)</t>
  </si>
  <si>
    <t>3.40시간</t>
  </si>
  <si>
    <t>20250215 류준환 유연근무청서 (초과근무)</t>
  </si>
  <si>
    <t>뉴로핏 주식회사-250215-AR1팀-0001</t>
  </si>
  <si>
    <t>AQUA AD FDA (UW 전달용 ARIA-H 확정 작업)</t>
  </si>
  <si>
    <t>2025-02-15(21:54) ~ 2025-02-15(23:59)</t>
  </si>
  <si>
    <t>2025-02-16(00:00) ~ 2025-02-16(00:16)</t>
  </si>
  <si>
    <t>0.30시간</t>
  </si>
  <si>
    <t>2025-02-16(08:09) ~ 2025-02-16(10:11)</t>
  </si>
  <si>
    <t>AQUA AD 3.0 FDA 초벌 작업, 모델 고도화, 엔진 디버깅</t>
  </si>
  <si>
    <t>2025-02-16(08:40) ~ 2025-02-16(16:10)</t>
  </si>
  <si>
    <t>7.50시간</t>
  </si>
  <si>
    <t>[20250216]QA팀 조용우 휴일 근무 신청</t>
  </si>
  <si>
    <t>뉴로핏 주식회사-250216-QA-0002</t>
  </si>
  <si>
    <t>디지털 의료제품법 절차서 수립</t>
  </si>
  <si>
    <t>2025-02-16(14:55) ~ 2025-02-16(18:45)</t>
  </si>
  <si>
    <t>경희대 SCALE MRI 연구 환경 세팅</t>
  </si>
  <si>
    <t>2025-02-16(16:17) ~ 2025-02-16(20:09)</t>
  </si>
  <si>
    <t>20250216 류준환 유연근무청서 (초과근무)</t>
  </si>
  <si>
    <t>뉴로핏 주식회사-250216-AR1팀-0002</t>
  </si>
  <si>
    <t>UW 전달용 ARIA-H 확정 작업 및 업무지원</t>
  </si>
  <si>
    <t>2025-02-17(17:09) ~ 2025-02-17(19:09)</t>
  </si>
  <si>
    <t>2025-03-07</t>
  </si>
  <si>
    <t>20250217_송영지_유연근무 신청의 건 (초과근로)</t>
  </si>
  <si>
    <t>뉴로핏 주식회사-250307-임상팀-0002</t>
  </si>
  <si>
    <t>경희대 SCALE MRI Reader study 매뉴얼 제작</t>
  </si>
  <si>
    <t>2025-02-17(17:25) ~ 2025-02-17(20:35)</t>
  </si>
  <si>
    <t>2025-02-17(17:43) ~ 2025-02-17(21:43)</t>
  </si>
  <si>
    <t>250221_AQUA팀_이승룡 유연근무 신청</t>
  </si>
  <si>
    <t>뉴로핏 주식회사-250221-AQUA팀-0002</t>
  </si>
  <si>
    <t>Normative Engine pipeline 인터페이스 구현 및 AQUA 환경 실행</t>
  </si>
  <si>
    <t>2025-02-18(17:00) ~ 2025-02-18(21:00)</t>
  </si>
  <si>
    <t>강신일</t>
  </si>
  <si>
    <t>2025-02-19</t>
  </si>
  <si>
    <t>250218_AQUA팀_강신일 유연근무신청</t>
  </si>
  <si>
    <t>뉴로핏 주식회사-250219-AQUA팀-0001</t>
  </si>
  <si>
    <t>NeuroMap Label Data Export 데이터 모델 정의 및 기능 구현</t>
  </si>
  <si>
    <t>2025-02-18(17:25) ~ 2025-02-18(21:25)</t>
  </si>
  <si>
    <t>Anomaly Engine pipeline 인터페이스 구현 및 AQUA 환경 실행</t>
  </si>
  <si>
    <t>2025-02-18(17:27) ~ 2025-02-18(20:59)</t>
  </si>
  <si>
    <t>2025-02-18(17:30) ~ 2025-02-18(19:30)</t>
  </si>
  <si>
    <t>250218 서강희 유연근무 신청</t>
  </si>
  <si>
    <t>뉴로핏 주식회사-250218-AD팀-0001</t>
  </si>
  <si>
    <t>AQUA AD 3.0 NeuroEngine 적용, PET 분석 pipeline 구현, ARIA-E 분석 리뷰</t>
  </si>
  <si>
    <t>2025-02-18(19:25) ~ 2025-02-18(21:40)</t>
  </si>
  <si>
    <t>250218_AQUA팀_전만재_유연근무 신청</t>
  </si>
  <si>
    <t>뉴로핏 주식회사-250218-AQUA팀-0002</t>
  </si>
  <si>
    <t>AQUA 3.2 M1 DHF 작성 기한 준수</t>
  </si>
  <si>
    <t>2025-02-19(16:34) ~ 2025-02-19(19:10)</t>
  </si>
  <si>
    <t>250219_AR1팀(김다현)_유연근무(초과근무)</t>
  </si>
  <si>
    <t>뉴로핏 주식회사-250220-AR1팀-0003</t>
  </si>
  <si>
    <t>ARIA-H 데이터 전처리 후 MSFF-nnUNet baseline 모델 훈련 시작</t>
  </si>
  <si>
    <t>2025-02-19(16:40) ~ 2025-02-19(20:40)</t>
  </si>
  <si>
    <t>2025-03-09</t>
  </si>
  <si>
    <t>20250307_유연근무신청서_성형모</t>
  </si>
  <si>
    <t>뉴로핏 주식회사-250307-Platform팀-0001</t>
  </si>
  <si>
    <t>Inhouse 엔진 클러스터 서버 구성 및 NEO2.0 엔진 브로커 인터페이스 구현을 위한 탄력 근무</t>
  </si>
  <si>
    <t>2025-02-19(17:00) ~ 2025-02-19(19:10)</t>
  </si>
  <si>
    <t>PR팀</t>
  </si>
  <si>
    <t>윤재정</t>
  </si>
  <si>
    <t>22031501</t>
  </si>
  <si>
    <t>2025-03-05</t>
  </si>
  <si>
    <t>250219_PR팀(윤재정)_초과근무신청</t>
  </si>
  <si>
    <t>뉴로핏 주식회사-250305-PR팀-0002</t>
  </si>
  <si>
    <t>상장신청준비 보조</t>
  </si>
  <si>
    <t>2025-02-19(17:00) ~ 2025-02-19(20:00)</t>
  </si>
  <si>
    <t>250219_AQUA팀_강신일 유연근무신청</t>
  </si>
  <si>
    <t>뉴로핏 주식회사-250219-AQUA팀-0002</t>
  </si>
  <si>
    <t>NeuroMap Label Data Export 기능 구현 및 테스트 코드 작성, 다국어 관련 내용 추가에 따른 기능 수정</t>
  </si>
  <si>
    <t>2025-02-19(17:30) ~ 2025-02-19(19:30)</t>
  </si>
  <si>
    <t>250219 서강희 유연근무 신청</t>
  </si>
  <si>
    <t>뉴로핏 주식회사-250219-AD팀-0002</t>
  </si>
  <si>
    <t>AQUA AD 3.0 NeuroEngine 적용, ARIA-E 분석 리뷰, baseline 선택 기능 구현</t>
  </si>
  <si>
    <t>2025-02-19(17:35) ~ 2025-02-19(22:53)</t>
  </si>
  <si>
    <t>2025-02-20(16:03) ~ 2025-02-20(17:12)</t>
  </si>
  <si>
    <t>2025-02-26</t>
  </si>
  <si>
    <t>250220_연구기획팀(박인영)_초과근무의 건</t>
  </si>
  <si>
    <t>뉴로핏 주식회사-250226-연구기획-0001</t>
  </si>
  <si>
    <t>치매극복사업 최종보고서 수정 및 제출</t>
  </si>
  <si>
    <t>2025-02-20(16:40) ~ 2025-02-20(20:40)</t>
  </si>
  <si>
    <t>NEO2.0 엔진 브로커 인터페이스 구현을 위한 탄력 근무</t>
  </si>
  <si>
    <t>2025-02-20(16:51) ~ 2025-02-20(19:20)</t>
  </si>
  <si>
    <t>250220_AR1팀(김다현)_유연근무(초과근무)</t>
  </si>
  <si>
    <t>뉴로핏 주식회사-250221-AR1팀-0002</t>
  </si>
  <si>
    <t>ARIA-H filter 실험, gt 변경하여 모델 실험</t>
  </si>
  <si>
    <t>2025-02-20(17:25) ~ 2025-02-20(21:03)</t>
  </si>
  <si>
    <t>이지은B</t>
  </si>
  <si>
    <t>23112702</t>
  </si>
  <si>
    <t>2025-02-24</t>
  </si>
  <si>
    <t>250221 유연근무신청 이지은</t>
  </si>
  <si>
    <t>뉴로핏 주식회사-250221-AD팀-0003</t>
  </si>
  <si>
    <t>AD 25.07 스프린트 일정을 맞추기 위한 초과근무</t>
  </si>
  <si>
    <t>2025-02-20(17:30) ~ 2025-02-20(20:30)</t>
  </si>
  <si>
    <t>250220 서강희 유연근무 신청</t>
  </si>
  <si>
    <t>뉴로핏 주식회사-250220-AD팀-0002</t>
  </si>
  <si>
    <t>AQUA AD 3.0 NeuroEngine 적용, ARIA-E 분석 리뷰, 규제정보에 따른 토큰 변환 적용</t>
  </si>
  <si>
    <t>2025-02-20(18:32) ~ 2025-02-20(20:36)</t>
  </si>
  <si>
    <t>이민우</t>
  </si>
  <si>
    <t>22022102</t>
  </si>
  <si>
    <t>250220_NR2팀_이민우_초과근무</t>
  </si>
  <si>
    <t>뉴로핏 주식회사-250221-NR2팀-0001</t>
  </si>
  <si>
    <t>ARIA-H 실험 데이터셋 구축, 리서치 마일스톤 작성</t>
  </si>
  <si>
    <t>2025-02-20(19:10) ~ 2025-02-20(21:23)</t>
  </si>
  <si>
    <t>250220_UX팀(강슬기)_유연근무신청서</t>
  </si>
  <si>
    <t>뉴로핏 주식회사-250224-UX팀-0002</t>
  </si>
  <si>
    <t>AQ 3.2 프로젝트 팀과 협의한 2/21까지 화면정의서 작업 및 공유를 완료하기 위해 초과근무 신청하였습니다. (AQ 3.2 M1 일정: 2/27)</t>
  </si>
  <si>
    <t>2025-02-21(16:40) ~ 2025-02-21(20:00)</t>
  </si>
  <si>
    <t>2025-02-21(17:28) ~ 2025-02-21(21:28)</t>
  </si>
  <si>
    <t>Neo 환경 Normative Data 사용을 위한 DB 구조 설계 및 Dummy Data 업로드</t>
  </si>
  <si>
    <t>2025-02-22(09:00) ~ 2025-02-22(13:00)</t>
    <phoneticPr fontId="4" type="noConversion"/>
  </si>
  <si>
    <t>세일즈&amp;서비스실</t>
  </si>
  <si>
    <t>최영훈</t>
  </si>
  <si>
    <t>24072203</t>
  </si>
  <si>
    <t>2025-03-04</t>
  </si>
  <si>
    <t>250221_세일즈팀 최영훈_초과근무 신청 입니다.</t>
  </si>
  <si>
    <t>뉴로핏 주식회사-250221-영업-0001</t>
  </si>
  <si>
    <t>구로성심병원 허정민 병원장님 AQUA 도입 미팅</t>
  </si>
  <si>
    <t>2025-02-22(09:00) ~ 2025-02-22(14:00)</t>
  </si>
  <si>
    <t>250222_AQUA팀_전만재_유연근무 신청</t>
  </si>
  <si>
    <t>뉴로핏 주식회사-250304-AQUA팀-0002</t>
  </si>
  <si>
    <t>AQUA 3.2 개발일정 준수</t>
  </si>
  <si>
    <t>2025-02-22(10:20) ~ 2025-02-22(16:45)</t>
  </si>
  <si>
    <t>6.40시간</t>
  </si>
  <si>
    <t>2025-02-25</t>
  </si>
  <si>
    <t>250222-23_AR3팀_김기연_유연근무신청서 (초과근무)</t>
  </si>
  <si>
    <t>뉴로핏 주식회사-250224-AR3팀-0001</t>
  </si>
  <si>
    <t>DET-02 Heatmapmodel 실험결과 확인 및 Aneurysm index classification model 구상</t>
  </si>
  <si>
    <t>2025-02-22(13:30) ~ 2025-02-22(15:30)</t>
  </si>
  <si>
    <t>20250222_AR3팀_양현식_유연근무신청서(초과근무)</t>
  </si>
  <si>
    <t>뉴로핏 주식회사-250225-AR3팀-0001</t>
  </si>
  <si>
    <t>det-02, more dense and init conv kernel modified net train</t>
  </si>
  <si>
    <t>2025-02-22(13:35) ~ 2025-02-22(16:45)</t>
  </si>
  <si>
    <t>20250224_AR3팀(김도연)_유연근무신청서(초과근무)</t>
  </si>
  <si>
    <t>뉴로핏 주식회사-250224-AR3팀-0004</t>
  </si>
  <si>
    <t>- overfitting 문제 해결, 기술인터뷰 피드백, 과제 일정 파악</t>
  </si>
  <si>
    <t>2025-02-22(14:33) ~ 2025-02-22(18:33)</t>
  </si>
  <si>
    <t>250222_NR2팀(이민우)_초과근무</t>
  </si>
  <si>
    <t>뉴로핏 주식회사-250224-NR2팀-0001</t>
  </si>
  <si>
    <t>ARIA-H 종단분석 엔진 업그레이드</t>
  </si>
  <si>
    <t>2025-02-22(20:46) ~ 2025-02-22(23:13)</t>
  </si>
  <si>
    <t>20250222 류준환 유연근무청서 (초과근무)</t>
  </si>
  <si>
    <t>뉴로핏 주식회사-250222-AR1팀-0001</t>
  </si>
  <si>
    <t>[AQUA AD] ARIA-E segmentation cuf-off 기능구현 및 검증</t>
  </si>
  <si>
    <t>2025-02-23(13:10) ~ 2025-02-23(15:25)</t>
  </si>
  <si>
    <t>Aneurysm index classification model 실험 결과 확인 및 metric 구현</t>
  </si>
  <si>
    <t>2025-02-23(13:50) ~ 2025-02-23(17:32)</t>
  </si>
  <si>
    <t>- 기술인터뷰 내용 병합, 재학습</t>
  </si>
  <si>
    <t>2025-02-23(13:58) ~ 2025-02-23(17:58)</t>
  </si>
  <si>
    <t>250223_NR2팀_이민우_초과근무</t>
  </si>
  <si>
    <t>뉴로핏 주식회사-250224-NR2팀-0002</t>
  </si>
  <si>
    <t>ARIA-H 종단분석 엔진 결과물 구현 및 엔진 테스트</t>
  </si>
  <si>
    <t>2025-02-24(16:00) ~ 2025-02-24(20:00)</t>
  </si>
  <si>
    <t>2025-02-28</t>
  </si>
  <si>
    <t>250225_AQUA팀_이승룡 유연근무 신청</t>
  </si>
  <si>
    <t>뉴로핏 주식회사-250228-AQUA팀-0003</t>
  </si>
  <si>
    <t>AQUA 3.2_T1 task Pipeline 추가 및 테스트</t>
  </si>
  <si>
    <t>2025-02-24(17:09) ~ 2025-02-24(20:30)</t>
  </si>
  <si>
    <t>250224_NR2팀_이민우_초과근무</t>
  </si>
  <si>
    <t>뉴로핏 주식회사-250225-NR2팀-0001</t>
  </si>
  <si>
    <t>AQUA AD 3.0 종단분석 엔진 업그레이드 시각화 작업 준비</t>
  </si>
  <si>
    <t>2025-02-24(17:30) ~ 2025-02-24(19:30)</t>
  </si>
  <si>
    <t>250224 서강희 유연근무 신청</t>
  </si>
  <si>
    <t>뉴로핏 주식회사-250224-AD팀-0004</t>
  </si>
  <si>
    <t>AQUA AD 3.0 NeuroEngine 적용, 이미지별 분석 목록 반환, 시스템 언어 설정 제공 서비스, 수동분석 API 확장 기능 구현</t>
  </si>
  <si>
    <t>2025-02-24(17:37) ~ 2025-02-24(23:42)</t>
  </si>
  <si>
    <t>6.10시간</t>
  </si>
  <si>
    <t>2025-02-25(16:00) ~ 2025-02-25(20:00)</t>
  </si>
  <si>
    <t>AQUA 3.2 Flair_seg Engine에 대한 인터페이스 구현 및 테스트 수행</t>
  </si>
  <si>
    <t>2025-02-25(17:00) ~ 2025-02-25(21:00)</t>
  </si>
  <si>
    <t>250225_AQUA팀_강신일 유연근무신청</t>
  </si>
  <si>
    <t>뉴로핏 주식회사-250225-AQUA팀-0001</t>
  </si>
  <si>
    <t>NEO에 Label Data Import 기능 구현 및 테스트 코드 작성</t>
  </si>
  <si>
    <t>2025-02-25(17:19) ~ 2025-02-25(19:04)</t>
  </si>
  <si>
    <t>2025-03-06</t>
  </si>
  <si>
    <t>250225,250226_mkt(서충원)_초과근무신청</t>
  </si>
  <si>
    <t>뉴로핏 주식회사-250228-마케팅-0002</t>
  </si>
  <si>
    <t>소영회 신입생 환영회 준비(제품 슬라이드 제작)</t>
  </si>
  <si>
    <t>2025-02-25(17:30) ~ 2025-02-25(21:30)</t>
  </si>
  <si>
    <t>250225 서강희 유연근무 신청</t>
  </si>
  <si>
    <t>뉴로핏 주식회사-250225-AD팀-0002</t>
  </si>
  <si>
    <t>AQUA AD 3.0 NeuroEngine 적용, 수동분석 API 확장 기능 구현, 실패 보고서 생성 서비스 수정</t>
  </si>
  <si>
    <t>2025-02-25(18:27) ~ 2025-02-25(21:38)</t>
  </si>
  <si>
    <t>250225_AQUA팀_전만재_유연근무 신청</t>
  </si>
  <si>
    <t>뉴로핏 주식회사-250225-AQUA팀-0002</t>
  </si>
  <si>
    <t>2025-02-25(20:19) ~ 2025-02-25(22:27)</t>
  </si>
  <si>
    <t>2025-02-27</t>
  </si>
  <si>
    <t>250225_NR2팀_이민우_초과근무</t>
  </si>
  <si>
    <t>뉴로핏 주식회사-250226-NR2팀-0001</t>
  </si>
  <si>
    <t>ARIA-H 종단분석 시각화를 위한 결과물 구현 실험</t>
  </si>
  <si>
    <t>2025-02-26(16:00) ~ 2025-02-26(19:00)</t>
  </si>
  <si>
    <t>황재욱</t>
  </si>
  <si>
    <t>24102102</t>
  </si>
  <si>
    <t>250226_techops팀(황재윽)_유연근무신청(초과근무)</t>
  </si>
  <si>
    <t>뉴로핏 주식회사-250227-테크옵스-0001</t>
  </si>
  <si>
    <t>ARIA-H engine dataset 엔진 고도화 레이블링</t>
  </si>
  <si>
    <t>2025-02-26(16:00) ~ 2025-02-26(20:00)</t>
  </si>
  <si>
    <t>NEO2.0 엔진 브로커 인터페이스 검증 및 PET2.1.1 통합 테스트 검증 지원</t>
  </si>
  <si>
    <t>2025-02-26(17:25) ~ 2025-02-26(18:55)</t>
  </si>
  <si>
    <t>1.50시간</t>
  </si>
  <si>
    <t>2025-02-26(17:37) ~ 2025-02-26(19:03)</t>
  </si>
  <si>
    <t>1.40시간</t>
  </si>
  <si>
    <t>2025-02-27(17:30) ~ 2025-02-27(21:30)</t>
  </si>
  <si>
    <t>250227 서강희 유연근무 신청</t>
  </si>
  <si>
    <t>뉴로핏 주식회사-250227-AD팀-0002</t>
  </si>
  <si>
    <t>AQUA AD 3.0 NeuroEngine 적용, 라이선스 AOP 확장 적용, Locale 관련 API 수정</t>
  </si>
  <si>
    <t>2025-02-28(17:00) ~ 2025-02-28(19:30)</t>
  </si>
  <si>
    <t>2025-03-01</t>
  </si>
  <si>
    <t>250228_AQUA팀_강신일 유연근무신청</t>
  </si>
  <si>
    <t>뉴로핏 주식회사-250228-AQUA팀-0005</t>
  </si>
  <si>
    <t>NeuroMap 다국어 번역 기능 변경에 따른 소스 수정</t>
  </si>
  <si>
    <t>2025-02-28(17:24) ~ 2025-02-28(18:58)</t>
  </si>
  <si>
    <t>2025-02-28(18:08) ~ 2025-02-28(20:08)</t>
  </si>
  <si>
    <t>김준혁</t>
  </si>
  <si>
    <t>23011601</t>
  </si>
  <si>
    <t>20250228(2시간) 유연근무 신청</t>
  </si>
  <si>
    <t>뉴로핏 주식회사-250304-Vascular팀-0001</t>
  </si>
  <si>
    <t>AQUA 3,2 스프린트 목표달성을 위한 초과근무 요청</t>
  </si>
  <si>
    <t>2025-02-25(19:21) ~ 2025-02-25(21:43)</t>
  </si>
  <si>
    <t>2025-03-18</t>
  </si>
  <si>
    <t>250225-250306_UX팀(강슬기)_유연근무신청서</t>
  </si>
  <si>
    <t>뉴로핏 주식회사-250318-UX팀-0003</t>
  </si>
  <si>
    <t>NEO 2.0 (AQ 3.2) 화면정의 진행을 위해 초과근무 신청하였습니다. (M1 내에 주요 기능 정의 완료를 위함)</t>
  </si>
  <si>
    <t>2025-03-31(17:27) ~ 2025-03-31(19:27)</t>
  </si>
  <si>
    <t>AIOps팀</t>
  </si>
  <si>
    <t>이영훈</t>
  </si>
  <si>
    <t>25011302</t>
  </si>
  <si>
    <t>2025-04-01</t>
  </si>
  <si>
    <t>250331_AIOps팀(이영훈)_유연근무(초과근무)</t>
  </si>
  <si>
    <t>뉴로핏 주식회사-250401-AIOps팀-0001</t>
  </si>
  <si>
    <t>ARIA_E, H LONGITUDINAL 통합 테스트 코드 작성</t>
  </si>
  <si>
    <t>2025-03-31(18:25) ~ 2025-03-31(21:36)</t>
  </si>
  <si>
    <t>250331_AQUA팀_전만재_유연근무 신청</t>
  </si>
  <si>
    <t>뉴로핏 주식회사-250401-AQUA팀-0002</t>
  </si>
  <si>
    <t>2025-03-31(18:01) ~ 2025-03-31(21:15)</t>
  </si>
  <si>
    <t>2025-04-02</t>
  </si>
  <si>
    <t>20250331_임상팀 장한나_유연근무 신청의 건</t>
  </si>
  <si>
    <t>뉴로핏 주식회사-250401-임상팀-0005</t>
  </si>
  <si>
    <t>임상 SOP 본문 최종화 및 발표 자료 마무리</t>
  </si>
  <si>
    <t>2025-03-31(16:04) ~ 2025-03-31(18:19)</t>
  </si>
  <si>
    <t>20250331_송영지_유연근무 신청의 건 (초과근로)</t>
  </si>
  <si>
    <t>뉴로핏 주식회사-250402-임상팀-0001</t>
  </si>
  <si>
    <t>SOP 교육 자료 최종화</t>
  </si>
  <si>
    <t>2025-03-29(09:41) ~ 2025-03-29(15:00)</t>
  </si>
  <si>
    <t>250329_마케팅팀(이승주) 초과 근무 신청 서</t>
  </si>
  <si>
    <t>뉴로핏 주식회사-250331-마케팅-0001</t>
  </si>
  <si>
    <t>조달청 사업 준비</t>
  </si>
  <si>
    <t>2025-03-28(17:30) ~ 2025-03-28(19:30)</t>
  </si>
  <si>
    <t>2025-03-31</t>
  </si>
  <si>
    <t>250328 서강희 유연근무 신청</t>
  </si>
  <si>
    <t>뉴로핏 주식회사-250328-AD팀-0001</t>
  </si>
  <si>
    <t>AQUA AD 3.0 ARIA 다회차 분석 pipeline 구성 및 예외 처리, ARIA-E 사전 분석 방법 변경에 따른 수정</t>
  </si>
  <si>
    <t>2025-03-28(18:20) ~ 2025-03-28(21:23)</t>
  </si>
  <si>
    <t>정진우</t>
  </si>
  <si>
    <t>24010201</t>
  </si>
  <si>
    <t>250328_정진우_초과근무 신청</t>
  </si>
  <si>
    <t>뉴로핏 주식회사-250328-인증-0002</t>
  </si>
  <si>
    <t>SCALE CTP 1.0 국내 기술문서 작성</t>
  </si>
  <si>
    <t>2025-03-28(16:29) ~ 2025-03-28(18:59)</t>
  </si>
  <si>
    <t>250328_AR1팀(김다현)_유연근무(초과근무)</t>
  </si>
  <si>
    <t>뉴로핏 주식회사-250331-AR1팀-0001</t>
  </si>
  <si>
    <t>CLS-01 pilot model test 및 기존 코드 셋팅</t>
  </si>
  <si>
    <t>2025-03-27(17:30) ~ 2025-03-27(21:30)</t>
  </si>
  <si>
    <t>250327 서강희 유연근무 신청</t>
  </si>
  <si>
    <t>뉴로핏 주식회사-250327-AD팀-0004</t>
  </si>
  <si>
    <t>AQUA AD 3.0 ARIA 다회차 분석 pipeline 구성 및 예외 처리, ARIA-E 사전 분석 이후 프로세스 구현</t>
  </si>
  <si>
    <t>2025-03-27(17:00) ~ 2025-03-27(20:30)</t>
  </si>
  <si>
    <t>250307_AQUA팀_이승룡 유연근무 신청</t>
  </si>
  <si>
    <t>뉴로핏 주식회사-250331-AQUA팀-0001</t>
  </si>
  <si>
    <t>Checkup Report Data 생성 로직 추가</t>
  </si>
  <si>
    <t>2025-03-27(19:14) ~ 2025-03-27(22:04)</t>
  </si>
  <si>
    <t>하신영</t>
  </si>
  <si>
    <t>24061701</t>
  </si>
  <si>
    <t>250331_AQUA팀_하신영 유연근무신청</t>
  </si>
  <si>
    <t>뉴로핏 주식회사-250331-AQUA팀-0006</t>
  </si>
  <si>
    <t>AQUA 3.2 기한 준수</t>
  </si>
  <si>
    <t>2025-03-27(18:43) ~ 2025-03-27(20:15)</t>
  </si>
  <si>
    <t>20250327_AR3팀_양현식_유연근무신청서(초과근무)</t>
  </si>
  <si>
    <t>뉴로핏 주식회사-250331-AR3팀-0004</t>
  </si>
  <si>
    <t>MRA엔진 검증 및 테스트</t>
  </si>
  <si>
    <t>2025-03-27(20:35) ~ 2025-03-27(21:53)</t>
  </si>
  <si>
    <t>2025-03-27(20:50) ~ 2025-03-27(21:50)</t>
  </si>
  <si>
    <t>20250331_AR3팀(김도연)_유연근무신청서</t>
  </si>
  <si>
    <t>뉴로핏 주식회사-250331-AR3팀-0005</t>
  </si>
  <si>
    <t>엔진화</t>
  </si>
  <si>
    <t>2025-03-27(18:34) ~ 2025-03-27(20:14)</t>
  </si>
  <si>
    <t>1.70시간</t>
  </si>
  <si>
    <t>2025-03-27(16:39) ~ 2025-03-27(20:31)</t>
  </si>
  <si>
    <t>250327_AR3팀_김기연_유연근무신청서 (초과근무)</t>
  </si>
  <si>
    <t>뉴로핏 주식회사-250331-AR3팀-0002</t>
  </si>
  <si>
    <t>segdetailed model 엔진화</t>
  </si>
  <si>
    <t>2025-03-26(17:30) ~ 2025-03-26(19:30)</t>
  </si>
  <si>
    <t>250326 서강희 유연근무 신청</t>
  </si>
  <si>
    <t>뉴로핏 주식회사-250326-AD팀-0001</t>
  </si>
  <si>
    <t>AQUA AD 3.0 ARIA 다회차 분석 pipeline 구성 및 예외 처리, ARIA-H 이미지 처리 구현</t>
  </si>
  <si>
    <t>2025-03-26(18:21) ~ 2025-03-26(20:21)</t>
  </si>
  <si>
    <t>이겨레</t>
  </si>
  <si>
    <t>23112001</t>
  </si>
  <si>
    <t>2025-03-26</t>
  </si>
  <si>
    <t>250326_AIOps팀_이겨레_초과근무신청서</t>
  </si>
  <si>
    <t>뉴로핏 주식회사-250326-AIOps팀-0001</t>
  </si>
  <si>
    <t>질병청제안서작성 및 엔진패치</t>
  </si>
  <si>
    <t>2025-03-26(16:34) ~ 2025-03-26(18:30)</t>
  </si>
  <si>
    <t>1.90시간</t>
  </si>
  <si>
    <t>2025-03-27</t>
  </si>
  <si>
    <t>250327 이지은 유연근무신청</t>
  </si>
  <si>
    <t>뉴로핏 주식회사-250327-AD팀-0001</t>
  </si>
  <si>
    <t>AD 25.13 스프린트 일정을 맞추기 위한 초과근무</t>
  </si>
  <si>
    <t>2025-03-26(16:37) ~ 2025-03-26(18:57)</t>
  </si>
  <si>
    <t>2025-03-28</t>
  </si>
  <si>
    <t>250327_AR1팀(김다현)_유연근무(초과근무)</t>
  </si>
  <si>
    <t>뉴로핏 주식회사-250327-AR1팀-0001</t>
  </si>
  <si>
    <t>2025-03-26(16:03) ~ 2025-03-26(20:03)</t>
  </si>
  <si>
    <t>Ms Report Data 생성 로직 추가</t>
  </si>
  <si>
    <t>2025-03-26(18:49) ~ 2025-03-26(20:55)</t>
  </si>
  <si>
    <t>2025-03-25(18:30) ~ 2025-03-25(20:00)</t>
  </si>
  <si>
    <t>250325_마케팅팀(이승주) 초과 근무 신청</t>
  </si>
  <si>
    <t>뉴로핏 주식회사-250325-마케팅-0004</t>
  </si>
  <si>
    <t>2025-03-25(18:09) ~ 2025-03-25(20:09)</t>
  </si>
  <si>
    <t>2025-03-25</t>
  </si>
  <si>
    <t>250325_AIOps팀_이겨레_초과근무신청서</t>
  </si>
  <si>
    <t>뉴로핏 주식회사-250325-AIOps팀-0001</t>
  </si>
  <si>
    <t>엔진업데이트(core, flair-longitudinal)</t>
  </si>
  <si>
    <t>2025-03-25(16:05) ~ 2025-03-25(20:05)</t>
  </si>
  <si>
    <t>HyperIntensity Report Data 생성 로직 추가</t>
  </si>
  <si>
    <t>2025-03-25(18:22) ~ 2025-03-25(21:38)</t>
  </si>
  <si>
    <t>2025-03-24(17:30) ~ 2025-03-24(21:30)</t>
  </si>
  <si>
    <t>250324 서강희 유연근무 신청</t>
  </si>
  <si>
    <t>뉴로핏 주식회사-250324-AD팀-0001</t>
  </si>
  <si>
    <t>AQUA AD 3.0 베이스라인 정의 분기 처리, ARIA 다회차 분석 pipeline 구성 및 예외 처리</t>
  </si>
  <si>
    <t>2025-03-24(17:41) ~ 2025-03-24(19:46)</t>
  </si>
  <si>
    <t>2025-03-24</t>
  </si>
  <si>
    <t>250310_이승은_유연근무 신청의 건</t>
  </si>
  <si>
    <t>뉴로핏 주식회사-250324-임상팀-0003</t>
  </si>
  <si>
    <t>tDCS 연구자 정기미팅 &amp; AD 임상, 급여화 계획 정리</t>
  </si>
  <si>
    <t>2025-03-24(18:28) ~ 2025-03-24(21:13)</t>
  </si>
  <si>
    <t>2025-03-24(18:11) ~ 2025-03-24(21:31)</t>
  </si>
  <si>
    <t>2025-03-23(14:08) ~ 2025-03-23(18:09)</t>
  </si>
  <si>
    <t>20250322, 23_AR3팀_양현식_유연근무 신청서(초과근무)</t>
  </si>
  <si>
    <t>뉴로핏 주식회사-250324-AR3팀-0004</t>
  </si>
  <si>
    <t>2025-03-23(11:41) ~ 2025-03-23(13:30)</t>
  </si>
  <si>
    <t>SCALE MRA 엔진화</t>
  </si>
  <si>
    <t>2025-03-23(12:28) ~ 2025-03-23(13:31)</t>
  </si>
  <si>
    <t>20250324_AR3팀(김도연)_유연근무신청서</t>
  </si>
  <si>
    <t>뉴로핏 주식회사-250324-AR3팀-0005</t>
  </si>
  <si>
    <t>- ventricle seg 요청 대응, seg detailed + detection box 결과 확인</t>
  </si>
  <si>
    <t>2025-03-23(14:08) ~ 2025-03-23(16:59)</t>
  </si>
  <si>
    <t>뉴로핏 주식회사-250324-AR3팀-0006</t>
  </si>
  <si>
    <t>2025-03-23(11:50) ~ 2025-03-23(17:07)</t>
  </si>
  <si>
    <t>250322-23_AR3팀_김기연_유연근무신청서 (초과근무)</t>
  </si>
  <si>
    <t>뉴로핏 주식회사-250324-AR3팀-0001</t>
  </si>
  <si>
    <t>Det02 seg detailed model 엔진화</t>
  </si>
  <si>
    <t>2025-03-22(10:08) ~ 2025-03-22(16:53)</t>
  </si>
  <si>
    <t>6.80시간</t>
  </si>
  <si>
    <t>조달청 사업, 광주테크노파크 사업 준비</t>
  </si>
  <si>
    <t>2025-03-22(11:39) ~ 2025-03-22(14:15)</t>
  </si>
  <si>
    <t>2025-03-22(15:15) ~ 2025-03-22(17:11)</t>
  </si>
  <si>
    <t>2025-03-22(12:45) ~ 2025-03-22(14:10)</t>
  </si>
  <si>
    <t>- 엔진화 준비, regression + detection 결과 확인</t>
  </si>
  <si>
    <t>2025-03-22(15:17) ~ 2025-03-22(18:00)</t>
  </si>
  <si>
    <t>2025-03-22(12:40) ~ 2025-03-22(18:10)</t>
  </si>
  <si>
    <t>5.50시간</t>
  </si>
  <si>
    <t>Det02 seg detailed model 실험 확인 및 엔진화 준비</t>
  </si>
  <si>
    <t>2025-03-21(17:30) ~ 2025-03-21(21:30)</t>
  </si>
  <si>
    <t>2025-03-23</t>
  </si>
  <si>
    <t>250321 서강희 유연근무 신청</t>
  </si>
  <si>
    <t>뉴로핏 주식회사-250321-AD팀-0001</t>
  </si>
  <si>
    <t>AQUA AD 3.0 베이스라인 정의 분기 처리, ARIA-E 다회차 분석 pipeline 구성, Seg2image 1.2.0 적용</t>
  </si>
  <si>
    <t>2025-03-21(18:40) ~ 2025-03-21(20:40)</t>
  </si>
  <si>
    <t>250321_NR1팀_최영심_초과근무</t>
  </si>
  <si>
    <t>뉴로핏 주식회사-250321-NR1팀-0002</t>
  </si>
  <si>
    <t>PET 2.0 FDA 긴급 보완 (~3/24)</t>
  </si>
  <si>
    <t>2025-03-21(16:43) ~ 2025-03-21(21:43)</t>
  </si>
  <si>
    <t>250321_정진우_초과근무 신청</t>
  </si>
  <si>
    <t>뉴로핏 주식회사-250321-인증-0001</t>
  </si>
  <si>
    <t>FDA 보완</t>
  </si>
  <si>
    <t>2025-03-21(18:18) ~ 2025-03-21(21:05)</t>
  </si>
  <si>
    <t>250324_AQUA팀_전만재_유연근무 신청</t>
  </si>
  <si>
    <t>뉴로핏 주식회사-250324-AQUA팀-0002</t>
  </si>
  <si>
    <t>2025-03-21(16:00) ~ 2025-03-21(18:00)</t>
  </si>
  <si>
    <t>250324_AQUA팀_이승룡 유연근무 신청</t>
  </si>
  <si>
    <t>뉴로핏 주식회사-250324-AQUA팀-0001</t>
  </si>
  <si>
    <t>AQUA 3.2_Task의 Result Parsing 완료</t>
  </si>
  <si>
    <t>2025-03-21(19:25) ~ 2025-03-21(21:32)</t>
  </si>
  <si>
    <t>250321_AR2팀(이지연)_유연근무(초과근무)</t>
  </si>
  <si>
    <t>뉴로핏 주식회사-250324-AR2팀-0003</t>
  </si>
  <si>
    <t>SCALE PET 2.0 FDA 보완 대응</t>
  </si>
  <si>
    <t>2025-03-21(18:29) ~ 2025-03-21(20:51)</t>
  </si>
  <si>
    <t>뉴로핏 주식회사-250331-AQUA팀-0005</t>
  </si>
  <si>
    <t>2025-03-20(19:58) ~ 2025-03-20(21:58)</t>
  </si>
  <si>
    <t>정의석</t>
  </si>
  <si>
    <t>21083001</t>
  </si>
  <si>
    <t>2025-03-21</t>
  </si>
  <si>
    <t>250320_정의석_유연근무신청서</t>
  </si>
  <si>
    <t>뉴로핏 주식회사-250321-AIOps팀-0004</t>
  </si>
  <si>
    <t>ARIA-H 엔진 작업</t>
  </si>
  <si>
    <t>2025-03-20(17:47) ~ 2025-03-20(21:30)</t>
  </si>
  <si>
    <t>인치수</t>
  </si>
  <si>
    <t>24040801</t>
  </si>
  <si>
    <t>20250320_유연근무신청서_인치수</t>
  </si>
  <si>
    <t>뉴로핏 주식회사-250321-Vascular팀-0002</t>
  </si>
  <si>
    <t>프로젝트 마일스톤 일정 준수를 위한 분석결과 뷰어 기능구현이 요구됨</t>
  </si>
  <si>
    <t>2025-03-20(18:30) ~ 2025-03-20(20:18)</t>
  </si>
  <si>
    <t>250320_마케팅팀(이승주) 초과 근무 신청</t>
  </si>
  <si>
    <t>뉴로핏 주식회사-250321-마케팅-0002</t>
  </si>
  <si>
    <t>2025-03-19(17:30) ~ 2025-03-19(19:30)</t>
  </si>
  <si>
    <t>2025-03-19</t>
  </si>
  <si>
    <t>250319 서강희 유연근무 신청</t>
  </si>
  <si>
    <t>뉴로핏 주식회사-250319-AD팀-0002</t>
  </si>
  <si>
    <t>AQUA AD 3.0 베이스라인 정의 분기 처리, ARIA-H 분석 pipeline 구성, 보고서 링크 설정 추가 구현</t>
  </si>
  <si>
    <t>2025-03-19(16:07) ~ 2025-03-19(18:17)</t>
  </si>
  <si>
    <t>250319_SV팀(김가희)_유연근무 신청</t>
  </si>
  <si>
    <t>뉴로핏 주식회사-250319-SV팀-0001</t>
  </si>
  <si>
    <t>tES LAB 4.0 Patch 검증 및 AD 3.0 STS 작성</t>
  </si>
  <si>
    <t>2025-03-19(16:23) ~ 2025-03-19(17:56)</t>
  </si>
  <si>
    <t>250320 이지은 유연근무신청</t>
  </si>
  <si>
    <t>뉴로핏 주식회사-250320-AD팀-0001</t>
  </si>
  <si>
    <t>AD 25.11 스프린트 일정을 맞추기 위한 초과근무</t>
  </si>
  <si>
    <t>2025-03-19(17:03) ~ 2025-03-19(20:23)</t>
  </si>
  <si>
    <t>2025-03-20</t>
  </si>
  <si>
    <t>20250319_유연근무신청서_인치수</t>
  </si>
  <si>
    <t>뉴로핏 주식회사-250320-Vascular팀-0001</t>
  </si>
  <si>
    <t>프로젝트 마일스톤 일정 준수를 위한 리포트 서버 기능 개선및 분석결과 뷰어 기능구현이 요구됨</t>
  </si>
  <si>
    <t>2025-03-19(17:47) ~ 2025-03-19(20:27)</t>
  </si>
  <si>
    <t>2025-03-19(16:00) ~ 2025-03-19(17:50)</t>
  </si>
  <si>
    <t>250319_연구기획팀(박인영)_초과근무의 건</t>
  </si>
  <si>
    <t>뉴로핏 주식회사-250324-연구기획-0001</t>
  </si>
  <si>
    <t>연하장애과제 변경신청</t>
  </si>
  <si>
    <t>2025-03-19(17:22) ~ 2025-03-19(19:22)</t>
  </si>
  <si>
    <t>20250319(2시간) 유연근무 신청</t>
  </si>
  <si>
    <t>뉴로핏 주식회사-250325-Vascular팀-0002</t>
  </si>
  <si>
    <t>2025-03-18(18:34) ~ 2025-03-18(20:36)</t>
  </si>
  <si>
    <t>250318_AIOps팀_이겨레_초과근무신청서</t>
  </si>
  <si>
    <t>뉴로핏 주식회사-250318-AIOps팀-0001</t>
  </si>
  <si>
    <t>MLOps 구현</t>
  </si>
  <si>
    <t>2025-03-18(16:00) ~ 2025-03-18(19:30)</t>
  </si>
  <si>
    <t>SCM팀</t>
  </si>
  <si>
    <t>천준우</t>
  </si>
  <si>
    <t>22030206</t>
  </si>
  <si>
    <t>250318 SCM팀 천준우 유연근무 신청</t>
  </si>
  <si>
    <t>뉴로핏 주식회사-250318-SCM팀-0001</t>
  </si>
  <si>
    <t>SCALE PET 2.1 CSTR 작성</t>
  </si>
  <si>
    <t>2025-03-18(16:09) ~ 2025-03-18(19:39)</t>
  </si>
  <si>
    <t>AQUA 3.2 의 Analyzer 구조 리팩토링</t>
  </si>
  <si>
    <t>2025-03-18(19:23) ~ 2025-03-18(21:49)</t>
  </si>
  <si>
    <t>2025-03-17(16:39) ~ 2025-03-17(18:39)</t>
  </si>
  <si>
    <t>2025-03-17</t>
  </si>
  <si>
    <t>250317_AIOps팀(이영훈)_유연근무(초과근무)</t>
  </si>
  <si>
    <t>뉴로핏 주식회사-250317-AIOps팀-0001</t>
  </si>
  <si>
    <t>ARIA-H Longitudinal 엔진화 작업</t>
  </si>
  <si>
    <t>2025-03-17(16:04) ~ 2025-03-17(19:04)</t>
  </si>
  <si>
    <t>AQUA3.2_Flair Resource Type 정의</t>
  </si>
  <si>
    <t>2025-03-14(12:00) ~ 2025-03-14(14:00)</t>
  </si>
  <si>
    <t>250314_AR3팀_김기연_유연근무신청서 (초과근무)</t>
  </si>
  <si>
    <t>뉴로핏 주식회사-250314-AR3팀-0001</t>
  </si>
  <si>
    <t>Det02 detection model 실험 확인 및 수정</t>
  </si>
  <si>
    <t>2025-03-14(10:30) ~ 2025-03-14(17:30)</t>
  </si>
  <si>
    <t>7.00시간</t>
  </si>
  <si>
    <t>250314_마케팅팀(이승주) 초과 근무 신청</t>
  </si>
  <si>
    <t>뉴로핏 주식회사-250314-마케팅-0003</t>
  </si>
  <si>
    <t>광주테크노파크 사업 준비</t>
  </si>
  <si>
    <t>2025-03-13(18:52) ~ 2025-03-13(20:52)</t>
  </si>
  <si>
    <t>2025-03-14</t>
  </si>
  <si>
    <t>250313_AIOps팀_이겨레_초과근무신청서</t>
  </si>
  <si>
    <t>뉴로핏 주식회사-250313-AIOps팀-0001</t>
  </si>
  <si>
    <t>엔진릴리즈</t>
  </si>
  <si>
    <t>2025-03-13(16:09) ~ 2025-03-13(20:09)</t>
  </si>
  <si>
    <t>250313_AQUA팀_이승룡_유연근무 신청</t>
  </si>
  <si>
    <t>뉴로핏 주식회사-250313-AQUA팀-0001</t>
  </si>
  <si>
    <t>Aqua System Setting에 대한 Bug fix</t>
  </si>
  <si>
    <t>2025-03-13(18:30) ~ 2025-03-13(20:00)</t>
  </si>
  <si>
    <t>2025-03-13(18:07) ~ 2025-03-13(20:07)</t>
  </si>
  <si>
    <t>20250313_유연근무신청서_인치수</t>
  </si>
  <si>
    <t>뉴로핏 주식회사-250317-Vascular팀-0001</t>
  </si>
  <si>
    <t>프로젝트 마일스톤 일정 준수를 위한 분석결과 환자별 분석목록 화면및 기능 구현이 요구됨</t>
  </si>
  <si>
    <t>2025-03-13(19:01) ~ 2025-03-13(21:55)</t>
  </si>
  <si>
    <t>뉴로핏 주식회사-250331-AQUA팀-0004</t>
  </si>
  <si>
    <t>2025-03-13(17:13) ~ 2025-03-13(20:21)</t>
  </si>
  <si>
    <t>24120901</t>
  </si>
  <si>
    <t>250401_AQUA팀_강신일_유연근무신청</t>
  </si>
  <si>
    <t>뉴로핏 주식회사-250401-AQUA팀-0001</t>
  </si>
  <si>
    <t>2025-03-12(18:19) ~ 2025-03-12(20:19)</t>
  </si>
  <si>
    <t>2025-03-12</t>
  </si>
  <si>
    <t>250312_AIOps팀_이겨레_초과근무신청서</t>
  </si>
  <si>
    <t>뉴로핏 주식회사-250312-AIOps팀-0003</t>
  </si>
  <si>
    <t>잔업(인스타간트, DHF문서작성, 릴리즈준비)</t>
  </si>
  <si>
    <t>2025-03-12(17:56) ~ 2025-03-12(21:56)</t>
  </si>
  <si>
    <t>2025-03-13</t>
  </si>
  <si>
    <t>250312_AQUA팀_전만재_유연근무 신청</t>
  </si>
  <si>
    <t>뉴로핏 주식회사-250312-AQUA팀-0001</t>
  </si>
  <si>
    <t>AQUA 3..2 개발 일정 준수</t>
  </si>
  <si>
    <t>2025-03-12(16:18) ~ 2025-03-12(18:44)</t>
  </si>
  <si>
    <t>250313 이지은 유연근무신청</t>
  </si>
  <si>
    <t>뉴로핏 주식회사-250313-AD팀-0001</t>
  </si>
  <si>
    <t>2025-03-12(18:30) ~ 2025-03-12(20:12)</t>
  </si>
  <si>
    <t>AI 바우처 준비</t>
  </si>
  <si>
    <t>2025-03-12(19:00) ~ 2025-03-12(21:26)</t>
  </si>
  <si>
    <t>2025-03-12(17:12) ~ 2025-03-12(19:14)</t>
  </si>
  <si>
    <t>2025-03-11(17:30) ~ 2025-03-11(21:30)</t>
  </si>
  <si>
    <t>250311 서강희 유연근무 신청</t>
  </si>
  <si>
    <t>뉴로핏 주식회사-250311-AD팀-0002</t>
  </si>
  <si>
    <t>AQUA AD 3.0 유저 추가에 따른 베이스라인 재정의 및 구현</t>
  </si>
  <si>
    <t>2025-03-11(18:37) ~ 2025-03-11(21:43)</t>
  </si>
  <si>
    <t>2025-03-11(17:03) ~ 2025-03-11(20:03)</t>
  </si>
  <si>
    <t>20250311_유연근무신청서_인치수</t>
  </si>
  <si>
    <t>뉴로핏 주식회사-250312-Vascular팀-0004</t>
  </si>
  <si>
    <t>프로젝트 마일스톤 일정 준수를 위한 report server 인터페이스 변경및 기능 구현이 요구됨</t>
  </si>
  <si>
    <t>2025-03-11(16:09) ~ 2025-03-11(20:09)</t>
  </si>
  <si>
    <t>Frontend FE를 위한 Mockup API 생성</t>
  </si>
  <si>
    <t>2025-03-11(18:55) ~ 2025-03-11(20:00)</t>
  </si>
  <si>
    <t>2025-03-11(19:05) ~ 2025-03-11(22:52)</t>
  </si>
  <si>
    <t>2025-03-11(17:14) ~ 2025-03-11(19:54)</t>
  </si>
  <si>
    <t>2025-03-10(18:25) ~ 2025-03-10(22:25)</t>
  </si>
  <si>
    <t>20250310(4시간) 유연근무 신청</t>
  </si>
  <si>
    <t>뉴로핏 주식회사-250312-Vascular팀-0003</t>
  </si>
  <si>
    <t>2025-03-10(16:42) ~ 2025-03-10(18:42)</t>
  </si>
  <si>
    <t>250310_AIOps팀(이영훈)_유연근무(초과근무)</t>
  </si>
  <si>
    <t>뉴로핏 주식회사-250312-AIOps팀-0001</t>
  </si>
  <si>
    <t>ARIA-E-Longitudinal, ARIA-H-Longitudinal I/O 미팅 준비</t>
  </si>
  <si>
    <t>2025-03-10(18:23) ~ 2025-03-10(21:46)</t>
  </si>
  <si>
    <t>2025-03-10(16:11) ~ 2025-03-10(20:11)</t>
  </si>
  <si>
    <t>NormativeModel Repository 리팩토링</t>
  </si>
  <si>
    <t>2025-03-10(18:30) ~ 2025-03-10(20:42)</t>
  </si>
  <si>
    <t>2025-03-10(17:03) ~ 2025-03-10(19:46)</t>
  </si>
  <si>
    <t>250310_송단비_유연근무 신청의 건 (초과근로)</t>
  </si>
  <si>
    <t>뉴로핏 주식회사-250324-임상팀-0001</t>
  </si>
  <si>
    <t>DHF 작성 &amp; tDCS 정기미팅</t>
  </si>
  <si>
    <t>2025-03-10(19:04) ~ 2025-03-10(22:09)</t>
  </si>
  <si>
    <t>2025-03-10(17:20) ~ 2025-03-10(21:00)</t>
  </si>
  <si>
    <t>2025-03-09(07:20) ~ 2025-03-09(13:20)</t>
  </si>
  <si>
    <t>250309_AQUA팀_이승룡_유연근무 신청</t>
  </si>
  <si>
    <t>뉴로핏 주식회사-250311-AQUA팀-0001</t>
  </si>
  <si>
    <t>Normative CSV 배포에 따른 Model Repository 수정 및 Neo 적용사항 배포</t>
  </si>
  <si>
    <t>2025-03-08(10:07) ~ 2025-03-08(12:11)</t>
  </si>
  <si>
    <t>2025-03-07(16:36) ~ 2025-03-07(18:36)</t>
  </si>
  <si>
    <t>2025-03-10</t>
  </si>
  <si>
    <t>250307_AIOps팀(이영훈)_유연근무(초과근무)</t>
  </si>
  <si>
    <t>뉴로핏 주식회사-250307-AIOps팀-0001</t>
  </si>
  <si>
    <t>ARIA-E-Longitudinal 엔진 개발</t>
  </si>
  <si>
    <t>2025-03-07(16:10) ~ 2025-03-07(18:40)</t>
  </si>
  <si>
    <t>250307 SCM팀 천준우 유연근무 신청</t>
  </si>
  <si>
    <t>뉴로핏 주식회사-250307-SCM팀-0004</t>
  </si>
  <si>
    <t>innk02 사이버시큐리티 적용 및 innk 기안 작성</t>
  </si>
  <si>
    <t>2025-03-07(18:29) ~ 2025-03-07(20:42)</t>
  </si>
  <si>
    <t>2025-03-07(18:34) ~ 2025-03-07(20:51)</t>
  </si>
  <si>
    <t>NEO 2.0 (AQ 3.2) 잔여 기능 화면정의 진행을 위해 초과근무 신청하였습니다. (CTP 1.0 M3 DHF 작성 업무와 병렬로 진행)</t>
  </si>
  <si>
    <t>2025-03-07(18:27) ~ 2025-03-07(20:52)</t>
  </si>
  <si>
    <t>뉴로핏 주식회사-250331-AQUA팀-0003</t>
  </si>
  <si>
    <t>2025-03-06(18:35) ~ 2025-03-06(20:35)</t>
  </si>
  <si>
    <t>250306_AIOps팀_이겨레_초과근무신청서</t>
  </si>
  <si>
    <t>뉴로핏 주식회사-250306-AIOps팀-0001</t>
  </si>
  <si>
    <t>DWI Registration 엔진 개발</t>
  </si>
  <si>
    <t>2025-03-06(16:09) ~ 2025-03-06(18:10)</t>
  </si>
  <si>
    <t>250306_SV팀(김가희)_유연근무 신청</t>
  </si>
  <si>
    <t>뉴로핏 주식회사-250306-SV팀-0002</t>
  </si>
  <si>
    <t>tES LAB 4.0 Patch 검증</t>
  </si>
  <si>
    <t>2025-03-06(17:39) ~ 2025-03-06(22:38)</t>
  </si>
  <si>
    <t>20250306_김상덕_초과근무</t>
  </si>
  <si>
    <t>뉴로핏 주식회사-250307-PET팀-0002</t>
  </si>
  <si>
    <t>SCALE PET 2.1.1 MV installer 배포 및 2.1 DHF M3 작성</t>
  </si>
  <si>
    <t>2025-03-06(18:27) ~ 2025-03-06(22:27)</t>
  </si>
  <si>
    <t>20250306(4시간) 유연근무 신청</t>
  </si>
  <si>
    <t>뉴로핏 주식회사-250310-Vascular팀-0001</t>
  </si>
  <si>
    <t>2025-03-06(18:29) ~ 2025-03-06(22:23)</t>
  </si>
  <si>
    <t>2025-03-06(17:00) ~ 2025-03-06(21:00)</t>
  </si>
  <si>
    <t>250312_AQUA팀_강신일 유연근무신청</t>
  </si>
  <si>
    <t>뉴로핏 주식회사-250312-AQUA팀-0002</t>
  </si>
  <si>
    <t>2025-03-06(17:00) ~ 2025-03-06(19:30)</t>
  </si>
  <si>
    <t>25-02-13, 02-18, 03-06_UX팀 조은경_유연근무 신청서</t>
  </si>
  <si>
    <t>뉴로핏 주식회사-250312-UX팀-0003</t>
  </si>
  <si>
    <t>AD 3.0 언어 검토용 피그마 파일 제작</t>
  </si>
  <si>
    <t>2025-03-06(19:46) ~ 2025-03-06(22:30)</t>
  </si>
  <si>
    <t>2025-03-06(18:27) ~ 2025-03-06(22:23)</t>
  </si>
  <si>
    <t>2025-03-05(17:30) ~ 2025-03-05(19:30)</t>
  </si>
  <si>
    <t>250305 서강희 유연근무 신청</t>
  </si>
  <si>
    <t>뉴로핏 주식회사-250305-AD팀-0004</t>
  </si>
  <si>
    <t>AQUA AD 3.0 NeuroEngine 적용 - PET, ARIA-E, Normative</t>
  </si>
  <si>
    <t>2025-03-05(20:07) ~ 2025-03-05(22:38)</t>
  </si>
  <si>
    <t>250305_AR1팀(김다현)_유연근무(초과근무)</t>
  </si>
  <si>
    <t>뉴로핏 주식회사-250306-AR1팀-0001</t>
  </si>
  <si>
    <t>ARIA-H validation set 결과 정리 및 라벨 변경한 데이터셋 실험 시작</t>
  </si>
  <si>
    <t>2025-03-05(17:03) ~ 2025-03-05(21:02)</t>
  </si>
  <si>
    <t>250306_조은혜_유연근무신청서</t>
  </si>
  <si>
    <t>뉴로핏 주식회사-250306-Vascular팀-0002</t>
  </si>
  <si>
    <t>NEO 2.0 Image Upload 화면 구현</t>
  </si>
  <si>
    <t>2025-03-05(16:00) ~ 2025-03-05(18:00)</t>
    <phoneticPr fontId="4" type="noConversion"/>
  </si>
  <si>
    <t>250305_자금팀(문시현)_초과근무 신청의 건</t>
  </si>
  <si>
    <t>뉴로핏 주식회사-250307-자금팀-0001</t>
  </si>
  <si>
    <t>현금흐름표 및 자금운용실적표 작성</t>
  </si>
  <si>
    <t>2025-03-05(16:05) ~ 2025-03-05(20:05)</t>
  </si>
  <si>
    <t>AQUA 3.2 Flair 분석 추가 및 Neo 변경 대응</t>
  </si>
  <si>
    <t>2025-03-05(21:39) ~ 2025-03-05(23:39)</t>
    <phoneticPr fontId="4" type="noConversion"/>
  </si>
  <si>
    <t>250305 AR1팀 조상영 유연근무 신청서 (초과근무)</t>
  </si>
  <si>
    <t>뉴로핏 주식회사-250310-AR1팀-0002</t>
  </si>
  <si>
    <t>릴리즈 엔진 결정을 위한 성능 정리</t>
  </si>
  <si>
    <t>2025-03-05(18:30) ~ 2025-03-05(22:30)</t>
  </si>
  <si>
    <t>김민섭</t>
  </si>
  <si>
    <t>24102101</t>
  </si>
  <si>
    <t>2025_0310_유연근무신청서_김민섭</t>
  </si>
  <si>
    <t>뉴로핏 주식회사-250310-Platform팀-0001</t>
  </si>
  <si>
    <t>production 클러스터의 random freezing 현상을 극복하기 위해 os 초기화 및 구축 과정을 바꿔 진행 및 현 MV간 dev 클러스터의 안정성을 도모해 k8s 클러스터 구축 간 장애가 없도록 탄력근무를 신청</t>
  </si>
  <si>
    <t>2025-03-05(18:00) ~ 2025-03-05(20:44)</t>
  </si>
  <si>
    <t>250305_마케팅팀(이승주)초과근무 신청</t>
  </si>
  <si>
    <t>뉴로핏 주식회사-250310-마케팅-0001</t>
  </si>
  <si>
    <t>AI 바우처 사업계획서 준비</t>
  </si>
  <si>
    <t>2025-03-05(18:24) ~ 2025-03-05(22:02)</t>
  </si>
  <si>
    <t>2025-03-05(17:00) ~ 2025-03-05(21:00)</t>
  </si>
  <si>
    <t>2025-03-05(18:58) ~ 2025-03-05(22:00)</t>
  </si>
  <si>
    <t>2025-03-05(18:58) ~ 2025-03-05(22:02)</t>
  </si>
  <si>
    <t>2025-03-04(18:30) ~ 2025-03-04(20:30)</t>
  </si>
  <si>
    <t>250304_AIOps팀_이겨레_초과근무신청서</t>
  </si>
  <si>
    <t>뉴로핏 주식회사-250304-AIOps팀-0001</t>
  </si>
  <si>
    <t>노머티브 엔진 작업 및 통합테스트 작성</t>
  </si>
  <si>
    <t>2025-03-04(16:20) ~ 2025-03-04(18:20)</t>
  </si>
  <si>
    <t>Inhouse Neuro-Engine 클러스터 구성 및 운용상 장애 대응</t>
  </si>
  <si>
    <t>2025-03-04(16:11) ~ 2025-03-04(18:11)</t>
  </si>
  <si>
    <t>2025-03-04(18:30) ~ 2025-03-04(20:45)</t>
  </si>
  <si>
    <t>aws production vpn tunneling 적용 간 내부 https 적용 및 테스트를 다음 MV전 production 안정화 테스트를 진행할 수 있게 하기 위해 탄력근무를 신청</t>
  </si>
  <si>
    <t>2025-03-04(19:53) ~ 2025-03-04(22:10)</t>
  </si>
  <si>
    <t>2025-03-04(19:07) ~ 2025-03-04(21:47)</t>
  </si>
  <si>
    <t>2025-03-03(09:10) ~ 2025-03-03(11:20)</t>
  </si>
  <si>
    <t>250303_AR3팀_김기연_유연근무신청서 (초과근무)</t>
  </si>
  <si>
    <t>뉴로핏 주식회사-250304-AR3팀-0002</t>
  </si>
  <si>
    <t>aneurysm idx model 성능 확인 및 추가 실험</t>
  </si>
  <si>
    <t>2025-03-03(14:14) ~ 2025-03-03(18:14)</t>
  </si>
  <si>
    <t>250303_NR2팀_이민우_초과근무</t>
  </si>
  <si>
    <t>뉴로핏 주식회사-250304-NR2팀-0001</t>
  </si>
  <si>
    <t>ARIA-H 종단분석 엔진 기획 수정 사항 적용</t>
  </si>
  <si>
    <t>2025-03-03(13:00) ~ 2025-03-03(14:00)</t>
  </si>
  <si>
    <t>250301_PR팀(윤재정)_초과근무신청서</t>
  </si>
  <si>
    <t>뉴로핏 주식회사-250312-PR팀-0001</t>
  </si>
  <si>
    <t>거래소 킥오프자료 디자인 업무</t>
  </si>
  <si>
    <t>2025-03-02(07:50) ~ 2025-03-02(14:00)</t>
  </si>
  <si>
    <t>6.20시간</t>
  </si>
  <si>
    <t>[20250302]QA팀 조용우 휴일 근무 신청</t>
  </si>
  <si>
    <t>뉴로핏 주식회사-250302-QA-0001</t>
  </si>
  <si>
    <t>장기 부재로 인한 밀린 업무 처리</t>
  </si>
  <si>
    <t>2025-03-02(17:49) ~ 2025-03-02(19:49)</t>
  </si>
  <si>
    <t>250302 AR1팀 조상영 유연근무 신청서 (초과근무)</t>
  </si>
  <si>
    <t>뉴로핏 주식회사-250304-AR1팀-0002</t>
  </si>
  <si>
    <t>ARIA-H 엔진 fine-tuning 작업 및 엔진 작업</t>
  </si>
  <si>
    <t>2025-03-02(13:00) ~ 2025-03-02(17:25)</t>
  </si>
  <si>
    <t>4.40시간</t>
  </si>
  <si>
    <t>2025-03-01(09:31) ~ 2025-03-01(14:29)</t>
  </si>
  <si>
    <t>250301_AQUA팀_전만재_유연근무 신청</t>
  </si>
  <si>
    <t>뉴로핏 주식회사-250304-AQUA팀-0003</t>
  </si>
  <si>
    <t>2025-03-01(18:29) ~ 2025-03-01(22:05)</t>
  </si>
  <si>
    <t>250301_AR1팀(김다현)_유연근무(초과근무)</t>
  </si>
  <si>
    <t>뉴로핏 주식회사-250304-AR1팀-0001</t>
  </si>
  <si>
    <t>MSFF-nnUNet ARIA-H histogram matching dataset 실험</t>
  </si>
  <si>
    <t>2025-03-01(13:00) ~ 2025-03-01(19:40)</t>
  </si>
  <si>
    <t>6.70시간</t>
  </si>
  <si>
    <t>2025-02-27(17:42) ~ 2025-02-27(22:08)</t>
  </si>
  <si>
    <t>뉴로핏 주식회사-250331-AQUA팀-0002</t>
  </si>
  <si>
    <t>2025-02-25(19:24) ~ 2025-02-25(21:43)</t>
  </si>
  <si>
    <t>No</t>
    <phoneticPr fontId="4" type="noConversion"/>
  </si>
  <si>
    <t>조회</t>
    <phoneticPr fontId="4" type="noConversion"/>
  </si>
  <si>
    <t>성명</t>
    <phoneticPr fontId="3" type="noConversion"/>
  </si>
  <si>
    <t>초과근무 내용</t>
    <phoneticPr fontId="3" type="noConversion"/>
  </si>
  <si>
    <t>초과근무 내역</t>
    <phoneticPr fontId="4" type="noConversion"/>
  </si>
  <si>
    <t>2025-02-27 목 (17:42~22:08) : 4시간 26분
2025-03-04 화 (19:07~21:47) : 2시간 40분
2025-03-05 수 (18:58~22:02) : 3시간 4분
2025-03-06 목 (18:27~22:23) : 3시간 56분
2025-03-07 금 (18:27~20:52) : 2시간 25분
2025-03-10 월 (19:04~22:09) : 3시간 5분
2025-03-11 화 (19:05~22:52) : 3시간 47분
2025-03-12 수 (19:00~21:26) : 2시간 26분
2025-03-13 목 (19:01~21:55) : 2시간 54분
2025-03-18 화 (19:23~21:49) : 2시간 26분
2025-03-21 금 (18:29~20:51) : 2시간 22분
2025-03-24 월 (18:28~21:13) : 2시간 45분
2025-03-27 목 (19:14~22:04) : 2시간 50분</t>
    <phoneticPr fontId="3" type="noConversion"/>
  </si>
  <si>
    <t>하신영</t>
    <phoneticPr fontId="3" type="noConversion"/>
  </si>
  <si>
    <t>41시간 25분</t>
    <phoneticPr fontId="3" type="noConversion"/>
  </si>
  <si>
    <t>초과근무 합</t>
    <phoneticPr fontId="3" type="noConversion"/>
  </si>
  <si>
    <t>이메일</t>
    <phoneticPr fontId="4" type="noConversion"/>
  </si>
  <si>
    <t>이메일 주소</t>
    <phoneticPr fontId="3" type="noConversion"/>
  </si>
  <si>
    <t>sy.ha@neurophet.com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</si>
</sst>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hh:mm"/>
  </numFmts>
  <fonts count="6" x14ac:knownFonts="1">
    <font>
      <sz val="11"/>
      <color rgb="FF333333"/>
      <name val="맑은 고딕"/>
      <family val="3"/>
      <charset val="129"/>
    </font>
    <font>
      <sz val="11"/>
      <color rgb="FF333333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EDED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 applyAlignment="1">
      <alignment horizontal="right"/>
    </xf>
    <xf numFmtId="177" fontId="0" fillId="0" borderId="1" xfId="0" applyNumberFormat="1" applyBorder="1"/>
    <xf numFmtId="0" fontId="1" fillId="0" borderId="1" xfId="0" applyFont="1" applyBorder="1"/>
    <xf numFmtId="176" fontId="0" fillId="6" borderId="1" xfId="0" applyNumberFormat="1" applyFill="1" applyBorder="1"/>
    <xf numFmtId="0" fontId="0" fillId="6" borderId="1" xfId="0" applyFill="1" applyBorder="1"/>
    <xf numFmtId="177" fontId="0" fillId="6" borderId="1" xfId="0" applyNumberFormat="1" applyFill="1" applyBorder="1" applyAlignment="1">
      <alignment horizontal="right"/>
    </xf>
    <xf numFmtId="177" fontId="0" fillId="6" borderId="1" xfId="0" applyNumberForma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7" borderId="3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7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urophet.sharepoint.com/sites/team.hr/Shared%20Documents/General/05.%20&#51076;&#51649;&#50896;/000.%20&#51076;&#51649;&#50896;%20&#47749;&#48512;/2025&#45380;%20&#45684;&#47196;&#54607;%20&#51076;&#51649;&#50896;&#47749;&#48512;.xlsm" TargetMode="External"/><Relationship Id="rId1" Type="http://schemas.openxmlformats.org/officeDocument/2006/relationships/externalLinkPath" Target="/sites/team.hr/Shared%20Documents/General/05.%20&#51076;&#51649;&#50896;/000.%20&#51076;&#51649;&#50896;%20&#47749;&#48512;/2025&#45380;%20&#45684;&#47196;&#54607;%20&#51076;&#51649;&#50896;&#47749;&#4851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mv8eyYy2UuxR3hxwmt2DAn0u0sPQo9ChoZx1WmIn-g2N0NHHKs3QoYIAR4neULE" itemId="016O6IY7J5WJF5PXJQBBEYB6STZZHDHHK4">
      <xxl21:absoluteUrl r:id="rId2"/>
    </xxl21:alternateUrls>
    <sheetNames>
      <sheetName val="기초데이터_20231114"/>
      <sheetName val="근로감독"/>
      <sheetName val="HRReport"/>
      <sheetName val="재직현황 Report"/>
      <sheetName val="Sheet1"/>
      <sheetName val="Sheet4"/>
      <sheetName val="재직현황Report"/>
      <sheetName val="채용 Report"/>
      <sheetName val="프로필"/>
      <sheetName val="제증명"/>
      <sheetName val="DB추출"/>
      <sheetName val="근로자 명부"/>
      <sheetName val="특정시점 인원조회"/>
      <sheetName val="기초데이터"/>
      <sheetName val="임직원 정보조회"/>
      <sheetName val="code"/>
      <sheetName val="IPO"/>
      <sheetName val="연구소 인원조회"/>
      <sheetName val="인사카드등록"/>
      <sheetName val="채용2023"/>
      <sheetName val="ms연결"/>
      <sheetName val="채용2024"/>
      <sheetName val="뉴로핏 주식회사 (default) (org6bf337ec"/>
      <sheetName val="Sheet2"/>
      <sheetName val="사진"/>
      <sheetName val="충원요청 현황"/>
      <sheetName val="지원자"/>
      <sheetName val="지원자-커리어"/>
      <sheetName val="장기근속이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>순서</v>
          </cell>
          <cell r="B3" t="str">
            <v>사번</v>
          </cell>
          <cell r="C3" t="str">
            <v>성명</v>
          </cell>
          <cell r="D3" t="str">
            <v>본부</v>
          </cell>
          <cell r="E3" t="str">
            <v>팀</v>
          </cell>
          <cell r="F3" t="str">
            <v>직무</v>
          </cell>
          <cell r="G3" t="str">
            <v>직위</v>
          </cell>
          <cell r="H3" t="str">
            <v>직책</v>
          </cell>
          <cell r="I3" t="str">
            <v>입사일</v>
          </cell>
          <cell r="J3" t="str">
            <v>정규직전환일</v>
          </cell>
          <cell r="K3" t="str">
            <v>고용구분</v>
          </cell>
          <cell r="L3" t="str">
            <v>대외제출용
인원구분</v>
          </cell>
          <cell r="M3" t="str">
            <v>재직상태</v>
          </cell>
          <cell r="N3" t="str">
            <v>주민등록번호</v>
          </cell>
          <cell r="O3" t="str">
            <v>생년월일</v>
          </cell>
          <cell r="P3" t="str">
            <v>남/여</v>
          </cell>
          <cell r="Q3" t="str">
            <v>나이</v>
          </cell>
          <cell r="R3" t="str">
            <v>만나이</v>
          </cell>
          <cell r="S3" t="str">
            <v>핸드폰</v>
          </cell>
          <cell r="T3" t="str">
            <v>주소</v>
          </cell>
          <cell r="U3" t="str">
            <v>E-Mail</v>
          </cell>
        </row>
        <row r="4">
          <cell r="A4">
            <v>1</v>
          </cell>
          <cell r="B4">
            <v>16031401</v>
          </cell>
          <cell r="C4" t="str">
            <v>빈준길</v>
          </cell>
          <cell r="D4" t="str">
            <v>대표이사</v>
          </cell>
          <cell r="E4" t="str">
            <v>대표이사</v>
          </cell>
          <cell r="F4" t="str">
            <v>대표이사</v>
          </cell>
          <cell r="G4" t="str">
            <v>Co-CEO</v>
          </cell>
          <cell r="H4" t="str">
            <v>C-LEVEL</v>
          </cell>
          <cell r="I4">
            <v>42443</v>
          </cell>
          <cell r="J4">
            <v>42443</v>
          </cell>
          <cell r="K4" t="str">
            <v>정규직</v>
          </cell>
          <cell r="L4" t="str">
            <v>임원</v>
          </cell>
          <cell r="M4" t="str">
            <v>재직</v>
          </cell>
          <cell r="N4" t="str">
            <v>880328-1851618</v>
          </cell>
          <cell r="O4">
            <v>32230</v>
          </cell>
          <cell r="P4" t="str">
            <v>남</v>
          </cell>
          <cell r="Q4">
            <v>38</v>
          </cell>
          <cell r="R4">
            <v>37</v>
          </cell>
          <cell r="S4" t="str">
            <v>010-5004-8779</v>
          </cell>
          <cell r="T4" t="str">
            <v>서울특별시 영등포구 도신로29길 28, 202동 202호</v>
          </cell>
          <cell r="U4" t="str">
            <v>jkbeen@neurophet.com</v>
          </cell>
        </row>
        <row r="5">
          <cell r="A5">
            <v>2</v>
          </cell>
          <cell r="B5">
            <v>16031402</v>
          </cell>
          <cell r="C5" t="str">
            <v>김동현</v>
          </cell>
          <cell r="D5" t="str">
            <v>대표이사</v>
          </cell>
          <cell r="E5" t="str">
            <v>연구본부</v>
          </cell>
          <cell r="F5" t="str">
            <v>공동대표이사 및 연구개발 총괄</v>
          </cell>
          <cell r="G5" t="str">
            <v>Co-CEO / CTO</v>
          </cell>
          <cell r="H5" t="str">
            <v>C-LEVEL</v>
          </cell>
          <cell r="I5">
            <v>42443</v>
          </cell>
          <cell r="J5">
            <v>42443</v>
          </cell>
          <cell r="K5" t="str">
            <v>정규직</v>
          </cell>
          <cell r="L5" t="str">
            <v>임원</v>
          </cell>
          <cell r="M5" t="str">
            <v>재직</v>
          </cell>
          <cell r="N5" t="str">
            <v>870721-1860421</v>
          </cell>
          <cell r="O5">
            <v>31979</v>
          </cell>
          <cell r="P5" t="str">
            <v>남</v>
          </cell>
          <cell r="Q5">
            <v>39</v>
          </cell>
          <cell r="R5">
            <v>37</v>
          </cell>
          <cell r="S5" t="str">
            <v>010-9361-3781</v>
          </cell>
          <cell r="T5" t="str">
            <v>경기도 남양주시 경춘로 859번길 17-26(금곡동)</v>
          </cell>
          <cell r="U5" t="str">
            <v>donghyeon.kim@neurophet.com</v>
          </cell>
        </row>
        <row r="6">
          <cell r="A6">
            <v>3</v>
          </cell>
          <cell r="B6">
            <v>17030101</v>
          </cell>
          <cell r="C6" t="str">
            <v>윤계현</v>
          </cell>
          <cell r="D6" t="str">
            <v>경영본부</v>
          </cell>
          <cell r="E6" t="str">
            <v>자금팀</v>
          </cell>
          <cell r="F6" t="str">
            <v>재무</v>
          </cell>
          <cell r="G6" t="str">
            <v>Lead</v>
          </cell>
          <cell r="H6" t="str">
            <v>팀리드</v>
          </cell>
          <cell r="I6">
            <v>42795</v>
          </cell>
          <cell r="J6">
            <v>42795</v>
          </cell>
          <cell r="K6" t="str">
            <v>정규직</v>
          </cell>
          <cell r="L6" t="str">
            <v>사무직</v>
          </cell>
          <cell r="M6" t="str">
            <v>재직</v>
          </cell>
          <cell r="N6" t="str">
            <v>780715-1473610</v>
          </cell>
          <cell r="O6">
            <v>28686</v>
          </cell>
          <cell r="P6" t="str">
            <v>남</v>
          </cell>
          <cell r="Q6">
            <v>48</v>
          </cell>
          <cell r="R6">
            <v>46</v>
          </cell>
          <cell r="S6" t="str">
            <v>010-9144-4813</v>
          </cell>
          <cell r="T6" t="str">
            <v>서울특별시 강동구 천호동 21-205번지</v>
          </cell>
          <cell r="U6" t="str">
            <v>khyoon@neurophet.com</v>
          </cell>
        </row>
        <row r="7">
          <cell r="A7">
            <v>4</v>
          </cell>
          <cell r="B7">
            <v>17122101</v>
          </cell>
          <cell r="C7" t="str">
            <v>한상진</v>
          </cell>
          <cell r="D7" t="str">
            <v>프로덕트본부</v>
          </cell>
          <cell r="E7" t="str">
            <v>PM팀</v>
          </cell>
          <cell r="F7" t="str">
            <v>PM</v>
          </cell>
          <cell r="G7" t="str">
            <v>Lead</v>
          </cell>
          <cell r="H7" t="str">
            <v>팀리드</v>
          </cell>
          <cell r="I7">
            <v>43090</v>
          </cell>
          <cell r="J7">
            <v>43090</v>
          </cell>
          <cell r="K7" t="str">
            <v>정규직</v>
          </cell>
          <cell r="L7" t="str">
            <v>연구직</v>
          </cell>
          <cell r="M7" t="str">
            <v>재직</v>
          </cell>
          <cell r="N7" t="str">
            <v>880803-1490616</v>
          </cell>
          <cell r="O7">
            <v>32358</v>
          </cell>
          <cell r="P7" t="str">
            <v>남</v>
          </cell>
          <cell r="Q7">
            <v>38</v>
          </cell>
          <cell r="R7">
            <v>36</v>
          </cell>
          <cell r="S7" t="str">
            <v>010-2606-0461</v>
          </cell>
          <cell r="T7" t="str">
            <v>서울특별시 서초구 강남대로8길 66-5 302호</v>
          </cell>
          <cell r="U7" t="str">
            <v>sjhan@neurophet.com</v>
          </cell>
        </row>
        <row r="8">
          <cell r="A8">
            <v>5</v>
          </cell>
          <cell r="B8">
            <v>19020102</v>
          </cell>
          <cell r="C8" t="str">
            <v>김태영</v>
          </cell>
          <cell r="D8" t="str">
            <v>연구본부</v>
          </cell>
          <cell r="E8" t="str">
            <v>임상연구실</v>
          </cell>
          <cell r="F8" t="str">
            <v>임상연구</v>
          </cell>
          <cell r="G8" t="str">
            <v>Director</v>
          </cell>
          <cell r="H8" t="str">
            <v>실리드</v>
          </cell>
          <cell r="I8">
            <v>43507</v>
          </cell>
          <cell r="J8">
            <v>43507</v>
          </cell>
          <cell r="K8" t="str">
            <v>정규직</v>
          </cell>
          <cell r="L8" t="str">
            <v>연구직</v>
          </cell>
          <cell r="M8" t="str">
            <v>재직</v>
          </cell>
          <cell r="N8" t="str">
            <v>900205-2588017</v>
          </cell>
          <cell r="O8">
            <v>32909</v>
          </cell>
          <cell r="P8" t="str">
            <v>여</v>
          </cell>
          <cell r="Q8">
            <v>36</v>
          </cell>
          <cell r="R8">
            <v>35</v>
          </cell>
          <cell r="S8" t="str">
            <v>010-3757-8384</v>
          </cell>
          <cell r="T8" t="str">
            <v xml:space="preserve">경기도 용인시 수지구 포은대로 경기도 용인시 수지구 포은대로313번길 7-10 105동 3002호    </v>
          </cell>
          <cell r="U8" t="str">
            <v>ty.kim@neurophet.com</v>
          </cell>
        </row>
        <row r="9">
          <cell r="A9">
            <v>6</v>
          </cell>
          <cell r="B9">
            <v>20020102</v>
          </cell>
          <cell r="C9" t="str">
            <v>이민호</v>
          </cell>
          <cell r="D9" t="str">
            <v>연구본부</v>
          </cell>
          <cell r="E9" t="str">
            <v>AR실</v>
          </cell>
          <cell r="F9" t="str">
            <v>AI연구</v>
          </cell>
          <cell r="G9" t="str">
            <v>Director</v>
          </cell>
          <cell r="H9" t="str">
            <v>실리드</v>
          </cell>
          <cell r="I9">
            <v>43862</v>
          </cell>
          <cell r="J9">
            <v>43862</v>
          </cell>
          <cell r="K9" t="str">
            <v>정규직</v>
          </cell>
          <cell r="L9" t="str">
            <v>연구직</v>
          </cell>
          <cell r="M9" t="str">
            <v>재직</v>
          </cell>
          <cell r="N9" t="str">
            <v>820812-1702737</v>
          </cell>
          <cell r="O9">
            <v>30175</v>
          </cell>
          <cell r="P9" t="str">
            <v>남</v>
          </cell>
          <cell r="Q9">
            <v>44</v>
          </cell>
          <cell r="R9">
            <v>42</v>
          </cell>
          <cell r="S9" t="str">
            <v>010-2780-2180</v>
          </cell>
          <cell r="T9" t="str">
            <v xml:space="preserve">경기도 고양시 일산서구 덕산로 277-4, 아펠리움 101동 301호    </v>
          </cell>
          <cell r="U9" t="str">
            <v>minho.lee@neurophet.com</v>
          </cell>
        </row>
        <row r="10">
          <cell r="A10">
            <v>7</v>
          </cell>
          <cell r="B10">
            <v>20030103</v>
          </cell>
          <cell r="C10" t="str">
            <v>이창훈</v>
          </cell>
          <cell r="D10" t="str">
            <v>프로덕트본부</v>
          </cell>
          <cell r="E10" t="str">
            <v>개발1실</v>
          </cell>
          <cell r="F10" t="str">
            <v>개발</v>
          </cell>
          <cell r="G10" t="str">
            <v>Director</v>
          </cell>
          <cell r="H10" t="str">
            <v>실리드</v>
          </cell>
          <cell r="I10">
            <v>43891</v>
          </cell>
          <cell r="J10">
            <v>43891</v>
          </cell>
          <cell r="K10" t="str">
            <v>정규직</v>
          </cell>
          <cell r="L10" t="str">
            <v>연구직</v>
          </cell>
          <cell r="M10" t="str">
            <v>재직</v>
          </cell>
          <cell r="N10" t="str">
            <v>750223-1403514</v>
          </cell>
          <cell r="O10">
            <v>27417</v>
          </cell>
          <cell r="P10" t="str">
            <v>남</v>
          </cell>
          <cell r="Q10">
            <v>51</v>
          </cell>
          <cell r="R10">
            <v>50</v>
          </cell>
          <cell r="S10" t="str">
            <v>010-2744-4757</v>
          </cell>
          <cell r="T10" t="str">
            <v xml:space="preserve">서울특별시 강동구 양재대로 1706(아남아파트) 8동 1804호    </v>
          </cell>
          <cell r="U10" t="str">
            <v>leech.lee@neurophet.com</v>
          </cell>
        </row>
        <row r="11">
          <cell r="A11">
            <v>8</v>
          </cell>
          <cell r="B11">
            <v>20030106</v>
          </cell>
          <cell r="C11" t="str">
            <v>허진이</v>
          </cell>
          <cell r="D11" t="str">
            <v>대표이사</v>
          </cell>
          <cell r="E11" t="str">
            <v>인사팀</v>
          </cell>
          <cell r="F11" t="str">
            <v>인사</v>
          </cell>
          <cell r="G11" t="str">
            <v>Member</v>
          </cell>
          <cell r="H11" t="str">
            <v>멤버</v>
          </cell>
          <cell r="I11">
            <v>43891</v>
          </cell>
          <cell r="J11">
            <v>43891</v>
          </cell>
          <cell r="K11" t="str">
            <v>정규직</v>
          </cell>
          <cell r="L11" t="str">
            <v>사무직</v>
          </cell>
          <cell r="M11" t="str">
            <v>재직</v>
          </cell>
          <cell r="N11" t="str">
            <v>981117-2474420</v>
          </cell>
          <cell r="O11">
            <v>36116</v>
          </cell>
          <cell r="P11" t="str">
            <v>여</v>
          </cell>
          <cell r="Q11">
            <v>28</v>
          </cell>
          <cell r="R11">
            <v>26</v>
          </cell>
          <cell r="S11" t="str">
            <v>010-5592-1057</v>
          </cell>
          <cell r="T11" t="str">
            <v>서울특별시 마포구 토정로 31길 24 마포리버파크 109동 402호</v>
          </cell>
          <cell r="U11" t="str">
            <v>jiniheo@neurophet.com</v>
          </cell>
        </row>
        <row r="12">
          <cell r="A12">
            <v>9</v>
          </cell>
          <cell r="B12">
            <v>20031201</v>
          </cell>
          <cell r="C12" t="str">
            <v>경채윤</v>
          </cell>
          <cell r="D12" t="str">
            <v>프로덕트본부</v>
          </cell>
          <cell r="E12" t="str">
            <v>SCM팀</v>
          </cell>
          <cell r="F12" t="str">
            <v>생산관리</v>
          </cell>
          <cell r="G12" t="str">
            <v>Member</v>
          </cell>
          <cell r="H12" t="str">
            <v>멤버</v>
          </cell>
          <cell r="I12">
            <v>43902</v>
          </cell>
          <cell r="J12">
            <v>43902</v>
          </cell>
          <cell r="K12" t="str">
            <v>정규직</v>
          </cell>
          <cell r="L12" t="str">
            <v>연구직</v>
          </cell>
          <cell r="M12" t="str">
            <v>재직</v>
          </cell>
          <cell r="N12" t="str">
            <v>890320-2214115</v>
          </cell>
          <cell r="O12">
            <v>32587</v>
          </cell>
          <cell r="P12" t="str">
            <v>여</v>
          </cell>
          <cell r="Q12">
            <v>37</v>
          </cell>
          <cell r="R12">
            <v>36</v>
          </cell>
          <cell r="S12" t="str">
            <v>010-5049-7358</v>
          </cell>
          <cell r="T12" t="str">
            <v>경기도 화성시 영통로 61번길 10 신영통현대 1단지 103동 1003호</v>
          </cell>
          <cell r="U12" t="str">
            <v>cykyung@neurophet.com</v>
          </cell>
        </row>
        <row r="13">
          <cell r="A13">
            <v>10</v>
          </cell>
          <cell r="B13">
            <v>20051801</v>
          </cell>
          <cell r="C13" t="str">
            <v>김은영</v>
          </cell>
          <cell r="D13" t="str">
            <v>연구본부</v>
          </cell>
          <cell r="E13" t="str">
            <v>NI실</v>
          </cell>
          <cell r="F13" t="str">
            <v>뇌영상분석연구</v>
          </cell>
          <cell r="G13" t="str">
            <v>Director</v>
          </cell>
          <cell r="H13" t="str">
            <v>실리드</v>
          </cell>
          <cell r="I13">
            <v>43969</v>
          </cell>
          <cell r="J13">
            <v>43969</v>
          </cell>
          <cell r="K13" t="str">
            <v>정규직</v>
          </cell>
          <cell r="L13" t="str">
            <v>연구직</v>
          </cell>
          <cell r="M13" t="str">
            <v>재직</v>
          </cell>
          <cell r="N13" t="str">
            <v>820111-2024619</v>
          </cell>
          <cell r="O13">
            <v>29962</v>
          </cell>
          <cell r="P13" t="str">
            <v>여</v>
          </cell>
          <cell r="Q13">
            <v>44</v>
          </cell>
          <cell r="R13">
            <v>43</v>
          </cell>
          <cell r="S13" t="str">
            <v>010-4022-3152</v>
          </cell>
          <cell r="T13" t="str">
            <v>서울특별시 강남구 개포로310, 148동 2304호</v>
          </cell>
          <cell r="U13" t="str">
            <v>reginaeunyoungkim@neurophet.com</v>
          </cell>
        </row>
        <row r="14">
          <cell r="A14">
            <v>11</v>
          </cell>
          <cell r="B14">
            <v>20062901</v>
          </cell>
          <cell r="C14" t="str">
            <v>류준환</v>
          </cell>
          <cell r="D14" t="str">
            <v>연구본부</v>
          </cell>
          <cell r="E14" t="str">
            <v>AR1팀</v>
          </cell>
          <cell r="F14" t="str">
            <v>AI연구</v>
          </cell>
          <cell r="G14" t="str">
            <v>Lead</v>
          </cell>
          <cell r="H14" t="str">
            <v>팀리드</v>
          </cell>
          <cell r="I14">
            <v>44011</v>
          </cell>
          <cell r="J14">
            <v>44011</v>
          </cell>
          <cell r="K14" t="str">
            <v>정규직</v>
          </cell>
          <cell r="L14" t="str">
            <v>연구직</v>
          </cell>
          <cell r="M14" t="str">
            <v>재직</v>
          </cell>
          <cell r="N14" t="str">
            <v>891019-1047818</v>
          </cell>
          <cell r="O14">
            <v>32800</v>
          </cell>
          <cell r="P14" t="str">
            <v>남</v>
          </cell>
          <cell r="Q14">
            <v>37</v>
          </cell>
          <cell r="R14">
            <v>35</v>
          </cell>
          <cell r="S14" t="str">
            <v>010-6229-1650</v>
          </cell>
          <cell r="T14" t="str">
            <v xml:space="preserve">경기도 성남시 분당구 정자2동 한솔마을 4단지 415 - 1801호 </v>
          </cell>
          <cell r="U14" t="str">
            <v>clarence@neurophet.com</v>
          </cell>
        </row>
        <row r="15">
          <cell r="A15">
            <v>12</v>
          </cell>
          <cell r="B15">
            <v>20070103</v>
          </cell>
          <cell r="C15" t="str">
            <v>송단비</v>
          </cell>
          <cell r="D15" t="str">
            <v>연구본부</v>
          </cell>
          <cell r="E15" t="str">
            <v>임상팀</v>
          </cell>
          <cell r="F15" t="str">
            <v>임상연구</v>
          </cell>
          <cell r="G15" t="str">
            <v>Lead</v>
          </cell>
          <cell r="H15" t="str">
            <v>팀리드</v>
          </cell>
          <cell r="I15">
            <v>44013</v>
          </cell>
          <cell r="J15">
            <v>44013</v>
          </cell>
          <cell r="K15" t="str">
            <v>정규직</v>
          </cell>
          <cell r="L15" t="str">
            <v>연구직</v>
          </cell>
          <cell r="M15" t="str">
            <v>재직</v>
          </cell>
          <cell r="N15" t="str">
            <v>880503-2408617</v>
          </cell>
          <cell r="O15">
            <v>32266</v>
          </cell>
          <cell r="P15" t="str">
            <v>여</v>
          </cell>
          <cell r="Q15">
            <v>38</v>
          </cell>
          <cell r="R15">
            <v>36</v>
          </cell>
          <cell r="S15" t="str">
            <v>010-9053-1523</v>
          </cell>
          <cell r="T15" t="str">
            <v>서울특별시 송파구 백제고분로12길 3-22 302호</v>
          </cell>
          <cell r="U15" t="str">
            <v>dbsong@neurophet.com</v>
          </cell>
        </row>
        <row r="16">
          <cell r="A16">
            <v>13</v>
          </cell>
          <cell r="B16">
            <v>20082401</v>
          </cell>
          <cell r="C16" t="str">
            <v>정소리</v>
          </cell>
          <cell r="D16" t="str">
            <v>경영본부</v>
          </cell>
          <cell r="E16" t="str">
            <v>회계팀</v>
          </cell>
          <cell r="F16" t="str">
            <v>회계</v>
          </cell>
          <cell r="G16" t="str">
            <v>Lead</v>
          </cell>
          <cell r="H16" t="str">
            <v>팀리드</v>
          </cell>
          <cell r="I16">
            <v>44067</v>
          </cell>
          <cell r="J16">
            <v>44228</v>
          </cell>
          <cell r="K16" t="str">
            <v>정규직</v>
          </cell>
          <cell r="L16" t="str">
            <v>사무직</v>
          </cell>
          <cell r="M16" t="str">
            <v>재직</v>
          </cell>
          <cell r="N16" t="str">
            <v>921016-2157219</v>
          </cell>
          <cell r="O16">
            <v>33893</v>
          </cell>
          <cell r="P16" t="str">
            <v>여</v>
          </cell>
          <cell r="Q16">
            <v>34</v>
          </cell>
          <cell r="R16">
            <v>32</v>
          </cell>
          <cell r="S16" t="str">
            <v>010-5247-7407</v>
          </cell>
          <cell r="T16" t="str">
            <v>경기도 하남시 감일백제로 65, 감일한라비발디 1203동 2103호</v>
          </cell>
          <cell r="U16" t="str">
            <v>srjeong@neurophet.com</v>
          </cell>
        </row>
        <row r="17">
          <cell r="A17">
            <v>14</v>
          </cell>
          <cell r="B17">
            <v>20100101</v>
          </cell>
          <cell r="C17" t="str">
            <v>권민영</v>
          </cell>
          <cell r="D17" t="str">
            <v>대표이사</v>
          </cell>
          <cell r="E17" t="str">
            <v>SV팀</v>
          </cell>
          <cell r="F17" t="str">
            <v>품질</v>
          </cell>
          <cell r="G17" t="str">
            <v>Member</v>
          </cell>
          <cell r="H17" t="str">
            <v>멤버</v>
          </cell>
          <cell r="I17">
            <v>43913</v>
          </cell>
          <cell r="J17">
            <v>44105</v>
          </cell>
          <cell r="K17" t="str">
            <v>정규직</v>
          </cell>
          <cell r="L17" t="str">
            <v>사무직</v>
          </cell>
          <cell r="M17" t="str">
            <v>재직</v>
          </cell>
          <cell r="N17" t="str">
            <v>960527-2659712</v>
          </cell>
          <cell r="O17">
            <v>35212</v>
          </cell>
          <cell r="P17" t="str">
            <v>여</v>
          </cell>
          <cell r="Q17">
            <v>30</v>
          </cell>
          <cell r="R17">
            <v>28</v>
          </cell>
          <cell r="S17" t="str">
            <v>010-6395-6416</v>
          </cell>
          <cell r="T17" t="str">
            <v>서울특별시 송파구 송파대로 145, 1029호</v>
          </cell>
          <cell r="U17" t="str">
            <v>mykwon@neurophet.com</v>
          </cell>
        </row>
        <row r="18">
          <cell r="A18">
            <v>15</v>
          </cell>
          <cell r="B18">
            <v>20100502</v>
          </cell>
          <cell r="C18" t="str">
            <v>강슬기</v>
          </cell>
          <cell r="D18" t="str">
            <v>프로덕트본부</v>
          </cell>
          <cell r="E18" t="str">
            <v>UX팀</v>
          </cell>
          <cell r="F18" t="str">
            <v>디자인</v>
          </cell>
          <cell r="G18" t="str">
            <v>Member</v>
          </cell>
          <cell r="H18" t="str">
            <v>멤버</v>
          </cell>
          <cell r="I18">
            <v>44109</v>
          </cell>
          <cell r="J18">
            <v>44109</v>
          </cell>
          <cell r="K18" t="str">
            <v>정규직</v>
          </cell>
          <cell r="L18" t="str">
            <v>연구직</v>
          </cell>
          <cell r="M18" t="str">
            <v>재직</v>
          </cell>
          <cell r="N18" t="str">
            <v>940216-2852529</v>
          </cell>
          <cell r="O18">
            <v>34381</v>
          </cell>
          <cell r="P18" t="str">
            <v>여</v>
          </cell>
          <cell r="Q18">
            <v>32</v>
          </cell>
          <cell r="R18">
            <v>31</v>
          </cell>
          <cell r="S18" t="str">
            <v>010-6419-4710</v>
          </cell>
          <cell r="T18" t="str">
            <v>경기도 고양시 덕양구 세솔로1길 5-12 202호</v>
          </cell>
          <cell r="U18" t="str">
            <v>sgkang@neurophet.com</v>
          </cell>
        </row>
        <row r="19">
          <cell r="A19">
            <v>16</v>
          </cell>
          <cell r="B19">
            <v>20102901</v>
          </cell>
          <cell r="C19" t="str">
            <v>이지연</v>
          </cell>
          <cell r="D19" t="str">
            <v>연구본부</v>
          </cell>
          <cell r="E19" t="str">
            <v>AR2팀</v>
          </cell>
          <cell r="F19" t="str">
            <v>AI연구</v>
          </cell>
          <cell r="G19" t="str">
            <v>Lead</v>
          </cell>
          <cell r="H19" t="str">
            <v>팀리드</v>
          </cell>
          <cell r="I19">
            <v>44133</v>
          </cell>
          <cell r="J19">
            <v>44133</v>
          </cell>
          <cell r="K19" t="str">
            <v>정규직</v>
          </cell>
          <cell r="L19" t="str">
            <v>연구직</v>
          </cell>
          <cell r="M19" t="str">
            <v>재직</v>
          </cell>
          <cell r="N19" t="str">
            <v>940425-2001310</v>
          </cell>
          <cell r="O19">
            <v>34449</v>
          </cell>
          <cell r="P19" t="str">
            <v>여</v>
          </cell>
          <cell r="Q19">
            <v>32</v>
          </cell>
          <cell r="R19">
            <v>30</v>
          </cell>
          <cell r="S19" t="str">
            <v>010-3502-5671</v>
          </cell>
          <cell r="T19" t="str">
            <v>서울특별시 종로구 낙산길198, 201동 303호</v>
          </cell>
          <cell r="U19" t="str">
            <v>jylee@neurophet.com</v>
          </cell>
        </row>
        <row r="20">
          <cell r="A20">
            <v>17</v>
          </cell>
          <cell r="B20">
            <v>20110201</v>
          </cell>
          <cell r="C20" t="str">
            <v>박민지</v>
          </cell>
          <cell r="D20" t="str">
            <v>프로덕트본부</v>
          </cell>
          <cell r="E20" t="str">
            <v>UX팀</v>
          </cell>
          <cell r="F20" t="str">
            <v>UX기획</v>
          </cell>
          <cell r="G20" t="str">
            <v>Lead</v>
          </cell>
          <cell r="H20" t="str">
            <v>팀리드</v>
          </cell>
          <cell r="I20">
            <v>44137</v>
          </cell>
          <cell r="J20">
            <v>44137</v>
          </cell>
          <cell r="K20" t="str">
            <v>정규직</v>
          </cell>
          <cell r="L20" t="str">
            <v>연구직</v>
          </cell>
          <cell r="M20" t="str">
            <v>재직</v>
          </cell>
          <cell r="N20" t="str">
            <v>890723-2163515</v>
          </cell>
          <cell r="O20">
            <v>32712</v>
          </cell>
          <cell r="P20" t="str">
            <v>여</v>
          </cell>
          <cell r="Q20">
            <v>37</v>
          </cell>
          <cell r="R20">
            <v>35</v>
          </cell>
          <cell r="S20" t="str">
            <v>010-6529-0723</v>
          </cell>
          <cell r="T20" t="str">
            <v>서울특별시 영등포구 당산동 4가 32-43 403호</v>
          </cell>
          <cell r="U20" t="str">
            <v>minji@neurophet.com</v>
          </cell>
        </row>
        <row r="21">
          <cell r="A21">
            <v>18</v>
          </cell>
          <cell r="B21">
            <v>20110203</v>
          </cell>
          <cell r="C21" t="str">
            <v>권은현</v>
          </cell>
          <cell r="D21" t="str">
            <v>연구본부</v>
          </cell>
          <cell r="E21" t="str">
            <v>TechOps팀</v>
          </cell>
          <cell r="F21" t="str">
            <v>레이블링</v>
          </cell>
          <cell r="G21" t="str">
            <v>Member</v>
          </cell>
          <cell r="H21" t="str">
            <v>멤버</v>
          </cell>
          <cell r="I21">
            <v>44137</v>
          </cell>
          <cell r="J21">
            <v>44137</v>
          </cell>
          <cell r="K21" t="str">
            <v>정규직</v>
          </cell>
          <cell r="L21" t="str">
            <v>연구직</v>
          </cell>
          <cell r="M21" t="str">
            <v>재직</v>
          </cell>
          <cell r="N21" t="str">
            <v>810303-2046819</v>
          </cell>
          <cell r="O21">
            <v>29648</v>
          </cell>
          <cell r="P21" t="str">
            <v>여</v>
          </cell>
          <cell r="Q21">
            <v>45</v>
          </cell>
          <cell r="R21">
            <v>44</v>
          </cell>
          <cell r="S21" t="str">
            <v>010-2764-3363</v>
          </cell>
          <cell r="T21" t="str">
            <v xml:space="preserve">서울특별시 강동구 진황도로31길 26 성원아파트 1동 308호    </v>
          </cell>
          <cell r="U21" t="str">
            <v>ehkwon@neurophet.com</v>
          </cell>
        </row>
        <row r="22">
          <cell r="A22">
            <v>19</v>
          </cell>
          <cell r="B22">
            <v>21030101</v>
          </cell>
          <cell r="C22" t="str">
            <v>최정은</v>
          </cell>
          <cell r="D22" t="str">
            <v>경영본부</v>
          </cell>
          <cell r="E22" t="str">
            <v>회계팀</v>
          </cell>
          <cell r="F22" t="str">
            <v>회계</v>
          </cell>
          <cell r="G22" t="str">
            <v>Member</v>
          </cell>
          <cell r="H22" t="str">
            <v>멤버</v>
          </cell>
          <cell r="I22">
            <v>44256</v>
          </cell>
          <cell r="J22">
            <v>44501</v>
          </cell>
          <cell r="K22" t="str">
            <v>정규직</v>
          </cell>
          <cell r="L22" t="str">
            <v>사무직</v>
          </cell>
          <cell r="M22" t="str">
            <v>재직</v>
          </cell>
          <cell r="N22" t="str">
            <v>920908-2076916</v>
          </cell>
          <cell r="O22">
            <v>33855</v>
          </cell>
          <cell r="P22" t="str">
            <v>여</v>
          </cell>
          <cell r="Q22">
            <v>34</v>
          </cell>
          <cell r="R22">
            <v>32</v>
          </cell>
          <cell r="S22" t="str">
            <v>010-8193-0909</v>
          </cell>
          <cell r="T22" t="str">
            <v>경기도 하남시 세미로1길 10, 103동 1902호</v>
          </cell>
          <cell r="U22" t="str">
            <v>jechoi@neurophet.com</v>
          </cell>
        </row>
        <row r="23">
          <cell r="A23">
            <v>20</v>
          </cell>
          <cell r="B23">
            <v>21031501</v>
          </cell>
          <cell r="C23" t="str">
            <v>이승은</v>
          </cell>
          <cell r="D23" t="str">
            <v>연구본부</v>
          </cell>
          <cell r="E23" t="str">
            <v>임상팀</v>
          </cell>
          <cell r="F23" t="str">
            <v>CRC</v>
          </cell>
          <cell r="G23" t="str">
            <v>Member</v>
          </cell>
          <cell r="H23" t="str">
            <v>멤버</v>
          </cell>
          <cell r="I23">
            <v>44270</v>
          </cell>
          <cell r="J23">
            <v>44270</v>
          </cell>
          <cell r="K23" t="str">
            <v>정규직</v>
          </cell>
          <cell r="L23" t="str">
            <v>연구직</v>
          </cell>
          <cell r="M23" t="str">
            <v>재직</v>
          </cell>
          <cell r="N23" t="str">
            <v>940114-2200332</v>
          </cell>
          <cell r="O23">
            <v>34348</v>
          </cell>
          <cell r="P23" t="str">
            <v>여</v>
          </cell>
          <cell r="Q23">
            <v>32</v>
          </cell>
          <cell r="R23">
            <v>31</v>
          </cell>
          <cell r="S23" t="str">
            <v>010-2936-5843</v>
          </cell>
          <cell r="T23" t="str">
            <v>경기도 수원시 영통구 도청로 10, B동 1329호</v>
          </cell>
          <cell r="U23" t="str">
            <v>selee@neurophet.com</v>
          </cell>
        </row>
        <row r="24">
          <cell r="A24">
            <v>21</v>
          </cell>
          <cell r="B24">
            <v>21042601</v>
          </cell>
          <cell r="C24" t="str">
            <v>서영일</v>
          </cell>
          <cell r="D24" t="str">
            <v>프로덕트본부</v>
          </cell>
          <cell r="E24" t="str">
            <v>PET팀</v>
          </cell>
          <cell r="F24" t="str">
            <v>Front_End개발</v>
          </cell>
          <cell r="G24" t="str">
            <v>Lead</v>
          </cell>
          <cell r="H24" t="str">
            <v>팀리드</v>
          </cell>
          <cell r="I24">
            <v>44312</v>
          </cell>
          <cell r="J24">
            <v>44312</v>
          </cell>
          <cell r="K24" t="str">
            <v>정규직</v>
          </cell>
          <cell r="L24" t="str">
            <v>연구직</v>
          </cell>
          <cell r="M24" t="str">
            <v>재직</v>
          </cell>
          <cell r="N24" t="str">
            <v>830628-1912614</v>
          </cell>
          <cell r="O24">
            <v>30495</v>
          </cell>
          <cell r="P24" t="str">
            <v>남</v>
          </cell>
          <cell r="Q24">
            <v>43</v>
          </cell>
          <cell r="R24">
            <v>41</v>
          </cell>
          <cell r="S24" t="str">
            <v>010-3366-1397</v>
          </cell>
          <cell r="T24" t="str">
            <v>경기도 광명시 양지로 16, 111동 607호</v>
          </cell>
          <cell r="U24" t="str">
            <v>yi.seo@neurophet.com</v>
          </cell>
        </row>
        <row r="25">
          <cell r="A25">
            <v>22</v>
          </cell>
          <cell r="B25">
            <v>21050101</v>
          </cell>
          <cell r="C25" t="str">
            <v>송지원</v>
          </cell>
          <cell r="D25" t="str">
            <v>프로덕트본부</v>
          </cell>
          <cell r="E25" t="str">
            <v>tESplan팀</v>
          </cell>
          <cell r="F25" t="str">
            <v>백엔드_개발</v>
          </cell>
          <cell r="G25" t="str">
            <v>Member</v>
          </cell>
          <cell r="H25" t="str">
            <v>멤버</v>
          </cell>
          <cell r="I25">
            <v>44317</v>
          </cell>
          <cell r="J25">
            <v>44317</v>
          </cell>
          <cell r="K25" t="str">
            <v>정규직</v>
          </cell>
          <cell r="L25" t="str">
            <v>연구직</v>
          </cell>
          <cell r="M25" t="str">
            <v>재직</v>
          </cell>
          <cell r="N25" t="str">
            <v>940204-1932327</v>
          </cell>
          <cell r="O25">
            <v>34369</v>
          </cell>
          <cell r="P25" t="str">
            <v>남</v>
          </cell>
          <cell r="Q25">
            <v>32</v>
          </cell>
          <cell r="R25">
            <v>31</v>
          </cell>
          <cell r="S25" t="str">
            <v>010-3212-3731</v>
          </cell>
          <cell r="T25" t="str">
            <v xml:space="preserve">서울특별시 송파구 올림픽로8길 4-11 잠실포레디움 303    </v>
          </cell>
          <cell r="U25" t="str">
            <v>jwsong@neurophet.com</v>
          </cell>
        </row>
        <row r="26">
          <cell r="A26">
            <v>23</v>
          </cell>
          <cell r="B26">
            <v>21052601</v>
          </cell>
          <cell r="C26" t="str">
            <v>송재근</v>
          </cell>
          <cell r="D26" t="str">
            <v>프로덕트본부</v>
          </cell>
          <cell r="E26" t="str">
            <v>정보보안팀</v>
          </cell>
          <cell r="F26" t="str">
            <v>보안</v>
          </cell>
          <cell r="G26" t="str">
            <v>Member</v>
          </cell>
          <cell r="H26" t="str">
            <v>멤버</v>
          </cell>
          <cell r="I26">
            <v>44342</v>
          </cell>
          <cell r="J26">
            <v>44342</v>
          </cell>
          <cell r="K26" t="str">
            <v>정규직</v>
          </cell>
          <cell r="L26" t="str">
            <v>사무직</v>
          </cell>
          <cell r="M26" t="str">
            <v>재직</v>
          </cell>
          <cell r="N26" t="str">
            <v>870504-1157619</v>
          </cell>
          <cell r="O26">
            <v>31901</v>
          </cell>
          <cell r="P26" t="str">
            <v>남</v>
          </cell>
          <cell r="Q26">
            <v>39</v>
          </cell>
          <cell r="R26">
            <v>37</v>
          </cell>
          <cell r="S26" t="str">
            <v>010-9148-6587</v>
          </cell>
          <cell r="T26" t="str">
            <v>서울특별시 도봉구 노해로66길 21, 104동 502호</v>
          </cell>
          <cell r="U26" t="str">
            <v>jgsong@neurophet.com</v>
          </cell>
        </row>
        <row r="27">
          <cell r="A27">
            <v>24</v>
          </cell>
          <cell r="B27">
            <v>21060101</v>
          </cell>
          <cell r="C27" t="str">
            <v>정필충</v>
          </cell>
          <cell r="D27" t="str">
            <v>경영본부</v>
          </cell>
          <cell r="E27" t="str">
            <v>운영팀</v>
          </cell>
          <cell r="F27" t="str">
            <v>총무</v>
          </cell>
          <cell r="G27" t="str">
            <v>Lead</v>
          </cell>
          <cell r="H27" t="str">
            <v>팀리드</v>
          </cell>
          <cell r="I27">
            <v>44348</v>
          </cell>
          <cell r="J27">
            <v>44348</v>
          </cell>
          <cell r="K27" t="str">
            <v>정규직</v>
          </cell>
          <cell r="L27" t="str">
            <v>사무직</v>
          </cell>
          <cell r="M27" t="str">
            <v>재직</v>
          </cell>
          <cell r="N27" t="str">
            <v>790610-1058413</v>
          </cell>
          <cell r="O27">
            <v>29016</v>
          </cell>
          <cell r="P27" t="str">
            <v>남</v>
          </cell>
          <cell r="Q27">
            <v>47</v>
          </cell>
          <cell r="R27">
            <v>45</v>
          </cell>
          <cell r="S27" t="str">
            <v>010-9077-5587</v>
          </cell>
          <cell r="T27" t="str">
            <v>서울특별시 구로구 궁동 102번지 동오그린빌라 115동 104호</v>
          </cell>
          <cell r="U27" t="str">
            <v>pcjung@neurophet.com</v>
          </cell>
        </row>
        <row r="28">
          <cell r="A28">
            <v>25</v>
          </cell>
          <cell r="B28">
            <v>21060701</v>
          </cell>
          <cell r="C28" t="str">
            <v>이지은A</v>
          </cell>
          <cell r="D28" t="str">
            <v>프로덕트본부</v>
          </cell>
          <cell r="E28" t="str">
            <v>UX팀</v>
          </cell>
          <cell r="F28" t="str">
            <v>디자인</v>
          </cell>
          <cell r="G28" t="str">
            <v>Member</v>
          </cell>
          <cell r="H28" t="str">
            <v>멤버</v>
          </cell>
          <cell r="I28">
            <v>44354</v>
          </cell>
          <cell r="J28">
            <v>44354</v>
          </cell>
          <cell r="K28" t="str">
            <v>정규직</v>
          </cell>
          <cell r="L28" t="str">
            <v>연구직</v>
          </cell>
          <cell r="M28" t="str">
            <v>재직</v>
          </cell>
          <cell r="N28" t="str">
            <v>950916-2691810</v>
          </cell>
          <cell r="O28">
            <v>34958</v>
          </cell>
          <cell r="P28" t="str">
            <v>여</v>
          </cell>
          <cell r="Q28">
            <v>31</v>
          </cell>
          <cell r="R28">
            <v>29</v>
          </cell>
          <cell r="S28" t="str">
            <v>010-6695-0148</v>
          </cell>
          <cell r="T28" t="str">
            <v>서울특별시 강남구 역삼로19길 13,103호</v>
          </cell>
          <cell r="U28" t="str">
            <v>easyeun@neurophet.com</v>
          </cell>
        </row>
        <row r="29">
          <cell r="A29">
            <v>26</v>
          </cell>
          <cell r="B29">
            <v>21062102</v>
          </cell>
          <cell r="C29" t="str">
            <v>전현진</v>
          </cell>
          <cell r="D29" t="str">
            <v>프로덕트본부</v>
          </cell>
          <cell r="E29" t="str">
            <v>AD팀</v>
          </cell>
          <cell r="F29" t="str">
            <v>개발</v>
          </cell>
          <cell r="G29" t="str">
            <v>Member</v>
          </cell>
          <cell r="H29" t="str">
            <v>멤버</v>
          </cell>
          <cell r="I29">
            <v>44368</v>
          </cell>
          <cell r="J29">
            <v>44368</v>
          </cell>
          <cell r="K29" t="str">
            <v>정규직</v>
          </cell>
          <cell r="L29" t="str">
            <v>연구직</v>
          </cell>
          <cell r="M29" t="str">
            <v>재직</v>
          </cell>
          <cell r="N29" t="str">
            <v>901025-2057310</v>
          </cell>
          <cell r="O29">
            <v>33171</v>
          </cell>
          <cell r="P29" t="str">
            <v>여</v>
          </cell>
          <cell r="Q29">
            <v>36</v>
          </cell>
          <cell r="R29">
            <v>34</v>
          </cell>
          <cell r="S29" t="str">
            <v>010-5366-6349</v>
          </cell>
          <cell r="T29" t="str">
            <v>서울특별시 관악구 쑥고개로 61, 801호</v>
          </cell>
          <cell r="U29" t="str">
            <v>hjjeon@neurophet.com</v>
          </cell>
        </row>
        <row r="30">
          <cell r="A30">
            <v>27</v>
          </cell>
          <cell r="B30">
            <v>21071201</v>
          </cell>
          <cell r="C30" t="str">
            <v>윤형석</v>
          </cell>
          <cell r="D30" t="str">
            <v>연구본부</v>
          </cell>
          <cell r="E30" t="str">
            <v>연구기획팀</v>
          </cell>
          <cell r="F30" t="str">
            <v>과제, 특허</v>
          </cell>
          <cell r="G30" t="str">
            <v>Director</v>
          </cell>
          <cell r="H30" t="str">
            <v>팀리드</v>
          </cell>
          <cell r="I30">
            <v>44389</v>
          </cell>
          <cell r="J30">
            <v>44389</v>
          </cell>
          <cell r="K30" t="str">
            <v>정규직</v>
          </cell>
          <cell r="L30" t="str">
            <v>연구직</v>
          </cell>
          <cell r="M30" t="str">
            <v>재직</v>
          </cell>
          <cell r="N30" t="str">
            <v>841101-1079118</v>
          </cell>
          <cell r="O30">
            <v>30987</v>
          </cell>
          <cell r="P30" t="str">
            <v>남</v>
          </cell>
          <cell r="Q30">
            <v>42</v>
          </cell>
          <cell r="R30">
            <v>40</v>
          </cell>
          <cell r="S30" t="str">
            <v>010-8637-7338</v>
          </cell>
          <cell r="T30" t="str">
            <v>서울특별시 광진구 긴고랑로3길 3, 301호</v>
          </cell>
          <cell r="U30" t="str">
            <v>hsyoon@neurophet.com</v>
          </cell>
        </row>
        <row r="31">
          <cell r="A31">
            <v>28</v>
          </cell>
          <cell r="B31">
            <v>21071901</v>
          </cell>
          <cell r="C31" t="str">
            <v>강해인</v>
          </cell>
          <cell r="D31" t="str">
            <v>프로덕트본부</v>
          </cell>
          <cell r="E31" t="str">
            <v>UX팀</v>
          </cell>
          <cell r="F31" t="str">
            <v>기획</v>
          </cell>
          <cell r="G31" t="str">
            <v>Member</v>
          </cell>
          <cell r="H31" t="str">
            <v>멤버</v>
          </cell>
          <cell r="I31">
            <v>44396</v>
          </cell>
          <cell r="J31">
            <v>44396</v>
          </cell>
          <cell r="K31" t="str">
            <v>정규직</v>
          </cell>
          <cell r="L31" t="str">
            <v>연구직</v>
          </cell>
          <cell r="M31" t="str">
            <v>재직</v>
          </cell>
          <cell r="N31" t="str">
            <v>860414-2224310</v>
          </cell>
          <cell r="O31">
            <v>31516</v>
          </cell>
          <cell r="P31" t="str">
            <v>여</v>
          </cell>
          <cell r="Q31">
            <v>40</v>
          </cell>
          <cell r="R31">
            <v>38</v>
          </cell>
          <cell r="S31" t="str">
            <v>010-6899-3578</v>
          </cell>
          <cell r="T31" t="str">
            <v>경기도 광명시 새터로90, 114동 1003호</v>
          </cell>
          <cell r="U31" t="str">
            <v>hikang@neurophet.com</v>
          </cell>
        </row>
        <row r="32">
          <cell r="A32">
            <v>29</v>
          </cell>
          <cell r="B32">
            <v>21080901</v>
          </cell>
          <cell r="C32" t="str">
            <v>손경미</v>
          </cell>
          <cell r="D32" t="str">
            <v>비즈니스본부</v>
          </cell>
          <cell r="E32" t="str">
            <v>해외세일즈팀</v>
          </cell>
          <cell r="F32" t="str">
            <v>BD</v>
          </cell>
          <cell r="G32" t="str">
            <v>Member</v>
          </cell>
          <cell r="H32" t="str">
            <v>멤버</v>
          </cell>
          <cell r="I32">
            <v>44417</v>
          </cell>
          <cell r="J32">
            <v>44417</v>
          </cell>
          <cell r="K32" t="str">
            <v>정규직</v>
          </cell>
          <cell r="L32" t="str">
            <v>사무직</v>
          </cell>
          <cell r="M32" t="str">
            <v>재직</v>
          </cell>
          <cell r="N32" t="str">
            <v>871212-2730911</v>
          </cell>
          <cell r="O32">
            <v>32123</v>
          </cell>
          <cell r="P32" t="str">
            <v>여</v>
          </cell>
          <cell r="Q32">
            <v>39</v>
          </cell>
          <cell r="R32">
            <v>37</v>
          </cell>
          <cell r="S32" t="str">
            <v>010-4650-2290</v>
          </cell>
          <cell r="T32" t="str">
            <v>서울특별시 서초구 양재대로2길33, 401동 1701호 (우면동, 엘에이치서초4단지)</v>
          </cell>
          <cell r="U32" t="str">
            <v>kmson@neurophet.com</v>
          </cell>
        </row>
        <row r="33">
          <cell r="A33">
            <v>30</v>
          </cell>
          <cell r="B33">
            <v>21083001</v>
          </cell>
          <cell r="C33" t="str">
            <v>정의석</v>
          </cell>
          <cell r="D33" t="str">
            <v>연구본부</v>
          </cell>
          <cell r="E33" t="str">
            <v>AIOps팀</v>
          </cell>
          <cell r="F33" t="str">
            <v>MLOps</v>
          </cell>
          <cell r="G33" t="str">
            <v>Member</v>
          </cell>
          <cell r="H33" t="str">
            <v>멤버</v>
          </cell>
          <cell r="I33">
            <v>44438</v>
          </cell>
          <cell r="J33">
            <v>44530</v>
          </cell>
          <cell r="K33" t="str">
            <v>정규직</v>
          </cell>
          <cell r="L33" t="str">
            <v>연구직</v>
          </cell>
          <cell r="M33" t="str">
            <v>재직</v>
          </cell>
          <cell r="N33" t="str">
            <v>960313-1059410</v>
          </cell>
          <cell r="O33">
            <v>35137</v>
          </cell>
          <cell r="P33" t="str">
            <v>남</v>
          </cell>
          <cell r="Q33">
            <v>30</v>
          </cell>
          <cell r="R33">
            <v>29</v>
          </cell>
          <cell r="S33" t="str">
            <v>010-2211-7680</v>
          </cell>
          <cell r="T33" t="str">
            <v>서울특별시 관악구 남부순환로161길 31, 303호</v>
          </cell>
          <cell r="U33" t="str">
            <v>esjeong@neurophet.com</v>
          </cell>
        </row>
        <row r="34">
          <cell r="A34">
            <v>31</v>
          </cell>
          <cell r="B34">
            <v>21091301</v>
          </cell>
          <cell r="C34" t="str">
            <v>이그린</v>
          </cell>
          <cell r="D34" t="str">
            <v>대표이사</v>
          </cell>
          <cell r="E34" t="str">
            <v>RA팀</v>
          </cell>
          <cell r="F34" t="str">
            <v>RA</v>
          </cell>
          <cell r="G34" t="str">
            <v>Member</v>
          </cell>
          <cell r="H34" t="str">
            <v>멤버</v>
          </cell>
          <cell r="I34">
            <v>44452</v>
          </cell>
          <cell r="J34">
            <v>44543</v>
          </cell>
          <cell r="K34" t="str">
            <v>정규직</v>
          </cell>
          <cell r="L34" t="str">
            <v>사무직</v>
          </cell>
          <cell r="M34" t="str">
            <v>재직</v>
          </cell>
          <cell r="N34" t="str">
            <v>970210-2002112</v>
          </cell>
          <cell r="O34">
            <v>35471</v>
          </cell>
          <cell r="P34" t="str">
            <v>여</v>
          </cell>
          <cell r="Q34">
            <v>29</v>
          </cell>
          <cell r="R34">
            <v>28</v>
          </cell>
          <cell r="S34" t="str">
            <v>010-4300-2297</v>
          </cell>
          <cell r="T34" t="str">
            <v>서울특별시 강동구 천호대로161길 15, 707호</v>
          </cell>
          <cell r="U34" t="str">
            <v>greenlee@neurophet.com</v>
          </cell>
        </row>
        <row r="35">
          <cell r="A35">
            <v>32</v>
          </cell>
          <cell r="B35">
            <v>21100501</v>
          </cell>
          <cell r="C35" t="str">
            <v>김창일</v>
          </cell>
          <cell r="D35" t="str">
            <v>프로덕트본부</v>
          </cell>
          <cell r="E35" t="str">
            <v>프로덕트본부</v>
          </cell>
          <cell r="F35" t="str">
            <v>CPO</v>
          </cell>
          <cell r="G35" t="str">
            <v>CPO</v>
          </cell>
          <cell r="H35" t="str">
            <v>C-LEVEL</v>
          </cell>
          <cell r="I35">
            <v>44474</v>
          </cell>
          <cell r="J35">
            <v>44474</v>
          </cell>
          <cell r="K35" t="str">
            <v>정규직</v>
          </cell>
          <cell r="L35" t="str">
            <v>임원</v>
          </cell>
          <cell r="M35" t="str">
            <v>재직</v>
          </cell>
          <cell r="N35" t="str">
            <v>690801-1001023</v>
          </cell>
          <cell r="O35">
            <v>25416</v>
          </cell>
          <cell r="P35" t="str">
            <v>남</v>
          </cell>
          <cell r="Q35">
            <v>57</v>
          </cell>
          <cell r="R35">
            <v>55</v>
          </cell>
          <cell r="S35" t="str">
            <v>010-4697-2286</v>
          </cell>
          <cell r="T35" t="str">
            <v>경기도 성남시 분당구 장안로 15 건영아파트 122동 901호</v>
          </cell>
          <cell r="U35" t="str">
            <v>changilkim@neurophet.com</v>
          </cell>
        </row>
        <row r="36">
          <cell r="A36">
            <v>33</v>
          </cell>
          <cell r="B36">
            <v>21101201</v>
          </cell>
          <cell r="C36" t="str">
            <v>이지영</v>
          </cell>
          <cell r="D36" t="str">
            <v>대표이사</v>
          </cell>
          <cell r="E36" t="str">
            <v>인사팀</v>
          </cell>
          <cell r="F36" t="str">
            <v>인사</v>
          </cell>
          <cell r="G36" t="str">
            <v>Director</v>
          </cell>
          <cell r="H36" t="str">
            <v>팀리드</v>
          </cell>
          <cell r="I36">
            <v>44481</v>
          </cell>
          <cell r="J36">
            <v>44481</v>
          </cell>
          <cell r="K36" t="str">
            <v>정규직</v>
          </cell>
          <cell r="L36" t="str">
            <v>사무직</v>
          </cell>
          <cell r="M36" t="str">
            <v>재직</v>
          </cell>
          <cell r="N36" t="str">
            <v>820530-2074227</v>
          </cell>
          <cell r="O36">
            <v>30101</v>
          </cell>
          <cell r="P36" t="str">
            <v>여</v>
          </cell>
          <cell r="Q36">
            <v>44</v>
          </cell>
          <cell r="R36">
            <v>42</v>
          </cell>
          <cell r="S36" t="str">
            <v>010-5147-6861</v>
          </cell>
          <cell r="T36" t="str">
            <v xml:space="preserve">서울특별시 강동구 고덕로80길 99. 508동 1004호(상일동, 고덕센트럴 IPARK)    </v>
          </cell>
          <cell r="U36" t="str">
            <v>jiyounglee@neurophet.com</v>
          </cell>
        </row>
        <row r="37">
          <cell r="A37">
            <v>34</v>
          </cell>
          <cell r="B37">
            <v>21101801</v>
          </cell>
          <cell r="C37" t="str">
            <v>권혜지</v>
          </cell>
          <cell r="D37" t="str">
            <v>프로덕트본부</v>
          </cell>
          <cell r="E37" t="str">
            <v>PM팀</v>
          </cell>
          <cell r="F37" t="str">
            <v>기획</v>
          </cell>
          <cell r="G37" t="str">
            <v>Member</v>
          </cell>
          <cell r="H37" t="str">
            <v>멤버</v>
          </cell>
          <cell r="I37">
            <v>44487</v>
          </cell>
          <cell r="J37">
            <v>44487</v>
          </cell>
          <cell r="K37" t="str">
            <v>정규직</v>
          </cell>
          <cell r="L37" t="str">
            <v>연구직</v>
          </cell>
          <cell r="M37" t="str">
            <v>재직</v>
          </cell>
          <cell r="N37" t="str">
            <v>900925-2813219</v>
          </cell>
          <cell r="O37">
            <v>33141</v>
          </cell>
          <cell r="P37" t="str">
            <v>여</v>
          </cell>
          <cell r="Q37">
            <v>36</v>
          </cell>
          <cell r="R37">
            <v>34</v>
          </cell>
          <cell r="S37" t="str">
            <v>010-3383-3617</v>
          </cell>
          <cell r="T37" t="str">
            <v>경기도 광명시 광이로 96 트리우스광명 210동 2101호</v>
          </cell>
          <cell r="U37" t="str">
            <v>hyeji@neurophet.com</v>
          </cell>
        </row>
        <row r="38">
          <cell r="A38">
            <v>35</v>
          </cell>
          <cell r="B38">
            <v>21111501</v>
          </cell>
          <cell r="C38" t="str">
            <v>박정민</v>
          </cell>
          <cell r="D38" t="str">
            <v>프로덕트본부</v>
          </cell>
          <cell r="E38" t="str">
            <v>SE팀</v>
          </cell>
          <cell r="F38" t="str">
            <v>기술지원</v>
          </cell>
          <cell r="G38" t="str">
            <v>Lead</v>
          </cell>
          <cell r="H38" t="str">
            <v>팀리드</v>
          </cell>
          <cell r="I38">
            <v>44515</v>
          </cell>
          <cell r="J38">
            <v>44515</v>
          </cell>
          <cell r="K38" t="str">
            <v>정규직</v>
          </cell>
          <cell r="L38" t="str">
            <v>연구직</v>
          </cell>
          <cell r="M38" t="str">
            <v>재직</v>
          </cell>
          <cell r="N38" t="str">
            <v>820825-1249123</v>
          </cell>
          <cell r="O38">
            <v>30188</v>
          </cell>
          <cell r="P38" t="str">
            <v>남</v>
          </cell>
          <cell r="Q38">
            <v>44</v>
          </cell>
          <cell r="R38">
            <v>42</v>
          </cell>
          <cell r="S38" t="str">
            <v>010-5855-4082</v>
          </cell>
          <cell r="T38" t="str">
            <v xml:space="preserve">경기도 부천시 신흥로67번길 43, 대창스페이스 303호    </v>
          </cell>
          <cell r="U38" t="str">
            <v>jmpark@neurophet.com</v>
          </cell>
        </row>
        <row r="39">
          <cell r="A39">
            <v>36</v>
          </cell>
          <cell r="B39">
            <v>21122001</v>
          </cell>
          <cell r="C39" t="str">
            <v>장한나</v>
          </cell>
          <cell r="D39" t="str">
            <v>연구본부</v>
          </cell>
          <cell r="E39" t="str">
            <v>임상팀</v>
          </cell>
          <cell r="F39" t="str">
            <v>Medical Writer</v>
          </cell>
          <cell r="G39" t="str">
            <v>Member</v>
          </cell>
          <cell r="H39" t="str">
            <v>멤버</v>
          </cell>
          <cell r="I39">
            <v>44550</v>
          </cell>
          <cell r="J39">
            <v>44550</v>
          </cell>
          <cell r="K39" t="str">
            <v>정규직</v>
          </cell>
          <cell r="L39" t="str">
            <v>연구직</v>
          </cell>
          <cell r="M39" t="str">
            <v>재직</v>
          </cell>
          <cell r="N39" t="str">
            <v>960402-2902115</v>
          </cell>
          <cell r="O39">
            <v>35157</v>
          </cell>
          <cell r="P39" t="str">
            <v>여</v>
          </cell>
          <cell r="Q39">
            <v>30</v>
          </cell>
          <cell r="R39">
            <v>29</v>
          </cell>
          <cell r="S39" t="str">
            <v>010-2669-4106</v>
          </cell>
          <cell r="T39" t="str">
            <v>서울특별시 관악구 남부순환로141길 18-6, 503호</v>
          </cell>
          <cell r="U39" t="str">
            <v>hnjang@neurophet.com</v>
          </cell>
        </row>
        <row r="40">
          <cell r="A40">
            <v>37</v>
          </cell>
          <cell r="B40">
            <v>22010301</v>
          </cell>
          <cell r="C40" t="str">
            <v>문영준</v>
          </cell>
          <cell r="D40" t="str">
            <v>비즈니스본부</v>
          </cell>
          <cell r="E40" t="str">
            <v>비즈니스본부</v>
          </cell>
          <cell r="F40" t="str">
            <v>CBO</v>
          </cell>
          <cell r="G40" t="str">
            <v>CBO</v>
          </cell>
          <cell r="H40" t="str">
            <v>C-LEVEL</v>
          </cell>
          <cell r="I40">
            <v>44564</v>
          </cell>
          <cell r="J40">
            <v>44564</v>
          </cell>
          <cell r="K40" t="str">
            <v>정규직</v>
          </cell>
          <cell r="L40" t="str">
            <v>임원</v>
          </cell>
          <cell r="M40" t="str">
            <v>재직</v>
          </cell>
          <cell r="N40" t="str">
            <v>760601-1058111</v>
          </cell>
          <cell r="O40">
            <v>27912</v>
          </cell>
          <cell r="P40" t="str">
            <v>남</v>
          </cell>
          <cell r="Q40">
            <v>50</v>
          </cell>
          <cell r="R40">
            <v>48</v>
          </cell>
          <cell r="S40" t="str">
            <v>010-5555-1336</v>
          </cell>
          <cell r="T40" t="str">
            <v>서울특별시 구로구 경인로643 신도림동아2차아파트 205동 1408호</v>
          </cell>
          <cell r="U40" t="str">
            <v>yjmoon@neurophet.com</v>
          </cell>
        </row>
        <row r="41">
          <cell r="A41">
            <v>38</v>
          </cell>
          <cell r="B41">
            <v>22010304</v>
          </cell>
          <cell r="C41" t="str">
            <v>김현수</v>
          </cell>
          <cell r="D41" t="str">
            <v>연구본부</v>
          </cell>
          <cell r="E41" t="str">
            <v>TechOps팀</v>
          </cell>
          <cell r="F41" t="str">
            <v>레이블링</v>
          </cell>
          <cell r="G41" t="str">
            <v>Member</v>
          </cell>
          <cell r="H41" t="str">
            <v>멤버</v>
          </cell>
          <cell r="I41">
            <v>44564</v>
          </cell>
          <cell r="J41">
            <v>44652</v>
          </cell>
          <cell r="K41" t="str">
            <v>정규직</v>
          </cell>
          <cell r="L41" t="str">
            <v>연구직</v>
          </cell>
          <cell r="M41" t="str">
            <v>재직</v>
          </cell>
          <cell r="N41" t="str">
            <v>991019-1235224</v>
          </cell>
          <cell r="O41">
            <v>36452</v>
          </cell>
          <cell r="P41" t="str">
            <v>남</v>
          </cell>
          <cell r="Q41">
            <v>27</v>
          </cell>
          <cell r="R41">
            <v>25</v>
          </cell>
          <cell r="S41" t="str">
            <v>010-8911-8732</v>
          </cell>
          <cell r="T41" t="str">
            <v>서울특별시 성동구 둘레19길 5 강변임광아파트 101동 907호</v>
          </cell>
          <cell r="U41" t="str">
            <v>khs@neurophet.com</v>
          </cell>
        </row>
        <row r="42">
          <cell r="A42">
            <v>39</v>
          </cell>
          <cell r="B42">
            <v>22011701</v>
          </cell>
          <cell r="C42" t="str">
            <v>김도현</v>
          </cell>
          <cell r="D42" t="str">
            <v>대표이사</v>
          </cell>
          <cell r="E42" t="str">
            <v>QA/RA실</v>
          </cell>
          <cell r="F42" t="str">
            <v>QA팀</v>
          </cell>
          <cell r="G42" t="str">
            <v>Director</v>
          </cell>
          <cell r="H42" t="str">
            <v>실리드</v>
          </cell>
          <cell r="I42">
            <v>44578</v>
          </cell>
          <cell r="J42">
            <v>44578</v>
          </cell>
          <cell r="K42" t="str">
            <v>정규직</v>
          </cell>
          <cell r="L42" t="str">
            <v>사무직</v>
          </cell>
          <cell r="M42" t="str">
            <v>재직</v>
          </cell>
          <cell r="N42" t="str">
            <v>751121-1023314</v>
          </cell>
          <cell r="O42">
            <v>27719</v>
          </cell>
          <cell r="P42" t="str">
            <v>남</v>
          </cell>
          <cell r="Q42">
            <v>51</v>
          </cell>
          <cell r="R42">
            <v>49</v>
          </cell>
          <cell r="S42" t="str">
            <v>010-2992-9801</v>
          </cell>
          <cell r="T42" t="str">
            <v>경기도 성남시 분당구 판교원로 207, 푸르지오 아파트 502동 1001호</v>
          </cell>
          <cell r="U42" t="str">
            <v>dohyun.kim@neurophet.com</v>
          </cell>
        </row>
        <row r="43">
          <cell r="A43">
            <v>40</v>
          </cell>
          <cell r="B43">
            <v>22011702</v>
          </cell>
          <cell r="C43" t="str">
            <v>김가희</v>
          </cell>
          <cell r="D43" t="str">
            <v>대표이사</v>
          </cell>
          <cell r="E43" t="str">
            <v>SV팀</v>
          </cell>
          <cell r="F43" t="str">
            <v>SQA</v>
          </cell>
          <cell r="G43" t="str">
            <v>Lead</v>
          </cell>
          <cell r="H43" t="str">
            <v>팀리드</v>
          </cell>
          <cell r="I43">
            <v>44578</v>
          </cell>
          <cell r="J43">
            <v>44578</v>
          </cell>
          <cell r="K43" t="str">
            <v>정규직</v>
          </cell>
          <cell r="L43" t="str">
            <v>사무직</v>
          </cell>
          <cell r="M43" t="str">
            <v>재직</v>
          </cell>
          <cell r="N43" t="str">
            <v>890707-2205427</v>
          </cell>
          <cell r="O43">
            <v>32696</v>
          </cell>
          <cell r="P43" t="str">
            <v>여</v>
          </cell>
          <cell r="Q43">
            <v>37</v>
          </cell>
          <cell r="R43">
            <v>35</v>
          </cell>
          <cell r="S43" t="str">
            <v>010-4905-6337</v>
          </cell>
          <cell r="T43" t="str">
            <v xml:space="preserve">경기도 용인시 기흥구 서그내로31 서천효성해링턴 107동 202호 </v>
          </cell>
          <cell r="U43" t="str">
            <v>kahee@neurophet.com</v>
          </cell>
        </row>
        <row r="44">
          <cell r="A44">
            <v>41</v>
          </cell>
          <cell r="B44">
            <v>22020702</v>
          </cell>
          <cell r="C44" t="str">
            <v>김종일</v>
          </cell>
          <cell r="D44" t="str">
            <v>연구본부</v>
          </cell>
          <cell r="E44" t="str">
            <v>뇌자극팀</v>
          </cell>
          <cell r="F44" t="str">
            <v>엔진 형상관리 및
품질향상, 제품화</v>
          </cell>
          <cell r="G44" t="str">
            <v>Member</v>
          </cell>
          <cell r="H44" t="str">
            <v>멤버</v>
          </cell>
          <cell r="I44">
            <v>44599</v>
          </cell>
          <cell r="J44">
            <v>44599</v>
          </cell>
          <cell r="K44" t="str">
            <v>정규직</v>
          </cell>
          <cell r="L44" t="str">
            <v>연구직</v>
          </cell>
          <cell r="M44" t="str">
            <v>재직</v>
          </cell>
          <cell r="N44" t="str">
            <v>790111-1048224</v>
          </cell>
          <cell r="O44">
            <v>28762</v>
          </cell>
          <cell r="P44" t="str">
            <v>남</v>
          </cell>
          <cell r="Q44">
            <v>48</v>
          </cell>
          <cell r="R44">
            <v>46</v>
          </cell>
          <cell r="S44" t="str">
            <v>010-9667-4862</v>
          </cell>
          <cell r="T44" t="str">
            <v>경기도 성남시 분당구 서현로494번길 8-5 B02호</v>
          </cell>
          <cell r="U44" t="str">
            <v>jikim@neurophet.com</v>
          </cell>
        </row>
        <row r="45">
          <cell r="A45">
            <v>42</v>
          </cell>
          <cell r="B45">
            <v>22021401</v>
          </cell>
          <cell r="C45" t="str">
            <v>김병수</v>
          </cell>
          <cell r="D45" t="str">
            <v>프로덕트본부</v>
          </cell>
          <cell r="E45" t="str">
            <v>개발2실</v>
          </cell>
          <cell r="F45" t="str">
            <v>개발</v>
          </cell>
          <cell r="G45" t="str">
            <v>Director</v>
          </cell>
          <cell r="H45" t="str">
            <v>실리드</v>
          </cell>
          <cell r="I45">
            <v>44606</v>
          </cell>
          <cell r="J45">
            <v>44606</v>
          </cell>
          <cell r="K45" t="str">
            <v>정규직</v>
          </cell>
          <cell r="L45" t="str">
            <v>연구직</v>
          </cell>
          <cell r="M45" t="str">
            <v>재직</v>
          </cell>
          <cell r="N45" t="str">
            <v>810424-1036710</v>
          </cell>
          <cell r="O45">
            <v>29700</v>
          </cell>
          <cell r="P45" t="str">
            <v>남</v>
          </cell>
          <cell r="Q45">
            <v>45</v>
          </cell>
          <cell r="R45">
            <v>43</v>
          </cell>
          <cell r="S45" t="str">
            <v>010-9163-5910</v>
          </cell>
          <cell r="T45" t="str">
            <v xml:space="preserve">경기도 성남시 분당구 미금로 63, 305동 103호 (구미동, 무지개마을)  </v>
          </cell>
          <cell r="U45" t="str">
            <v>byungsu.kim@neurophet.com</v>
          </cell>
        </row>
        <row r="46">
          <cell r="A46">
            <v>43</v>
          </cell>
          <cell r="B46">
            <v>22021402</v>
          </cell>
          <cell r="C46" t="str">
            <v>서영태</v>
          </cell>
          <cell r="D46" t="str">
            <v>프로덕트본부</v>
          </cell>
          <cell r="E46" t="str">
            <v>Vascular팀</v>
          </cell>
          <cell r="F46" t="str">
            <v>개발</v>
          </cell>
          <cell r="G46" t="str">
            <v>Lead</v>
          </cell>
          <cell r="H46" t="str">
            <v>팀리드</v>
          </cell>
          <cell r="I46">
            <v>44606</v>
          </cell>
          <cell r="J46">
            <v>44606</v>
          </cell>
          <cell r="K46" t="str">
            <v>정규직</v>
          </cell>
          <cell r="L46" t="str">
            <v>연구직</v>
          </cell>
          <cell r="M46" t="str">
            <v>재직</v>
          </cell>
          <cell r="N46" t="str">
            <v>740407-1067012</v>
          </cell>
          <cell r="O46">
            <v>27126</v>
          </cell>
          <cell r="P46" t="str">
            <v>남</v>
          </cell>
          <cell r="Q46">
            <v>52</v>
          </cell>
          <cell r="R46">
            <v>50</v>
          </cell>
          <cell r="S46" t="str">
            <v>010-2629-1512</v>
          </cell>
          <cell r="T46" t="str">
            <v>서울특별시 동작구 성대로11길 12 2층</v>
          </cell>
          <cell r="U46" t="str">
            <v>youngtae.seo@neurophet.com</v>
          </cell>
        </row>
        <row r="47">
          <cell r="A47">
            <v>44</v>
          </cell>
          <cell r="B47">
            <v>22021403</v>
          </cell>
          <cell r="C47" t="str">
            <v>장문종</v>
          </cell>
          <cell r="D47" t="str">
            <v>프로덕트본부</v>
          </cell>
          <cell r="E47" t="str">
            <v>tESplan팀</v>
          </cell>
          <cell r="F47" t="str">
            <v>개발</v>
          </cell>
          <cell r="G47" t="str">
            <v>Lead</v>
          </cell>
          <cell r="H47" t="str">
            <v>팀리드</v>
          </cell>
          <cell r="I47">
            <v>44606</v>
          </cell>
          <cell r="J47">
            <v>44606</v>
          </cell>
          <cell r="K47" t="str">
            <v>정규직</v>
          </cell>
          <cell r="L47" t="str">
            <v>연구직</v>
          </cell>
          <cell r="M47" t="str">
            <v>재직</v>
          </cell>
          <cell r="N47" t="str">
            <v>811013-1069525</v>
          </cell>
          <cell r="O47">
            <v>29872</v>
          </cell>
          <cell r="P47" t="str">
            <v>남</v>
          </cell>
          <cell r="Q47">
            <v>45</v>
          </cell>
          <cell r="R47">
            <v>43</v>
          </cell>
          <cell r="S47" t="str">
            <v>010-6559-6922</v>
          </cell>
          <cell r="T47" t="str">
            <v>경기도 의왕시 백운중앙로88, 508동 1102호</v>
          </cell>
          <cell r="U47" t="str">
            <v>moonjong.jang@neurophet.com</v>
          </cell>
        </row>
        <row r="48">
          <cell r="A48">
            <v>45</v>
          </cell>
          <cell r="B48">
            <v>22021404</v>
          </cell>
          <cell r="C48" t="str">
            <v>전만재</v>
          </cell>
          <cell r="D48" t="str">
            <v>프로덕트본부</v>
          </cell>
          <cell r="E48" t="str">
            <v>AQUA팀</v>
          </cell>
          <cell r="F48" t="str">
            <v>개발</v>
          </cell>
          <cell r="G48" t="str">
            <v>Lead</v>
          </cell>
          <cell r="H48" t="str">
            <v>팀리드</v>
          </cell>
          <cell r="I48">
            <v>44606</v>
          </cell>
          <cell r="J48">
            <v>44606</v>
          </cell>
          <cell r="K48" t="str">
            <v>정규직</v>
          </cell>
          <cell r="L48" t="str">
            <v>연구직</v>
          </cell>
          <cell r="M48" t="str">
            <v>재직</v>
          </cell>
          <cell r="N48" t="str">
            <v>860606-1031628</v>
          </cell>
          <cell r="O48">
            <v>31569</v>
          </cell>
          <cell r="P48" t="str">
            <v>남</v>
          </cell>
          <cell r="Q48">
            <v>40</v>
          </cell>
          <cell r="R48">
            <v>38</v>
          </cell>
          <cell r="S48" t="str">
            <v>010-9142-2417</v>
          </cell>
          <cell r="T48" t="str">
            <v>서울특별시 도봉구 해등로 242-11, 102-402</v>
          </cell>
          <cell r="U48" t="str">
            <v>manjae.jeon@neurophet.com</v>
          </cell>
        </row>
        <row r="49">
          <cell r="A49">
            <v>46</v>
          </cell>
          <cell r="B49">
            <v>22022101</v>
          </cell>
          <cell r="C49" t="str">
            <v>성형모</v>
          </cell>
          <cell r="D49" t="str">
            <v>프로덕트본부</v>
          </cell>
          <cell r="E49" t="str">
            <v>Platform팀</v>
          </cell>
          <cell r="F49" t="str">
            <v>개발</v>
          </cell>
          <cell r="G49" t="str">
            <v>Member</v>
          </cell>
          <cell r="H49" t="str">
            <v>멤버</v>
          </cell>
          <cell r="I49">
            <v>44613</v>
          </cell>
          <cell r="J49">
            <v>44613</v>
          </cell>
          <cell r="K49" t="str">
            <v>정규직</v>
          </cell>
          <cell r="L49" t="str">
            <v>연구직</v>
          </cell>
          <cell r="M49" t="str">
            <v>재직</v>
          </cell>
          <cell r="N49" t="str">
            <v>930523-1031110</v>
          </cell>
          <cell r="O49">
            <v>34112</v>
          </cell>
          <cell r="P49" t="str">
            <v>남</v>
          </cell>
          <cell r="Q49">
            <v>33</v>
          </cell>
          <cell r="R49">
            <v>31</v>
          </cell>
          <cell r="S49" t="str">
            <v>010-9074-5096</v>
          </cell>
          <cell r="T49" t="str">
            <v>서울특별시 관악구 청림5길 56-5</v>
          </cell>
          <cell r="U49" t="str">
            <v>hmseong@neurophet.com</v>
          </cell>
        </row>
        <row r="50">
          <cell r="A50">
            <v>47</v>
          </cell>
          <cell r="B50">
            <v>22022102</v>
          </cell>
          <cell r="C50" t="str">
            <v>이민우</v>
          </cell>
          <cell r="D50" t="str">
            <v>연구본부</v>
          </cell>
          <cell r="E50" t="str">
            <v>NR2팀</v>
          </cell>
          <cell r="F50" t="str">
            <v>뇌영상분석</v>
          </cell>
          <cell r="G50" t="str">
            <v>Member</v>
          </cell>
          <cell r="H50" t="str">
            <v>멤버</v>
          </cell>
          <cell r="I50">
            <v>44613</v>
          </cell>
          <cell r="J50">
            <v>44613</v>
          </cell>
          <cell r="K50" t="str">
            <v>정규직</v>
          </cell>
          <cell r="L50" t="str">
            <v>연구직</v>
          </cell>
          <cell r="M50" t="str">
            <v>재직</v>
          </cell>
          <cell r="N50" t="str">
            <v>911125-1861527</v>
          </cell>
          <cell r="O50">
            <v>33567</v>
          </cell>
          <cell r="P50" t="str">
            <v>남</v>
          </cell>
          <cell r="Q50">
            <v>35</v>
          </cell>
          <cell r="R50">
            <v>33</v>
          </cell>
          <cell r="S50" t="str">
            <v>010-7366-1897</v>
          </cell>
          <cell r="T50" t="str">
            <v xml:space="preserve">서울 관악구 남부순환로 272길 36 202호 </v>
          </cell>
          <cell r="U50" t="str">
            <v>minwoo@neurophet.com</v>
          </cell>
        </row>
        <row r="51">
          <cell r="A51">
            <v>48</v>
          </cell>
          <cell r="B51">
            <v>22030202</v>
          </cell>
          <cell r="C51" t="str">
            <v>곽병문</v>
          </cell>
          <cell r="D51" t="str">
            <v>프로덕트본부</v>
          </cell>
          <cell r="E51" t="str">
            <v>Platform팀</v>
          </cell>
          <cell r="F51" t="str">
            <v>DevOps</v>
          </cell>
          <cell r="G51" t="str">
            <v>Lead</v>
          </cell>
          <cell r="H51" t="str">
            <v>팀리드</v>
          </cell>
          <cell r="I51">
            <v>44622</v>
          </cell>
          <cell r="J51">
            <v>44622</v>
          </cell>
          <cell r="K51" t="str">
            <v>정규직</v>
          </cell>
          <cell r="L51" t="str">
            <v>연구직</v>
          </cell>
          <cell r="M51" t="str">
            <v>재직</v>
          </cell>
          <cell r="N51" t="str">
            <v>770612-1163222</v>
          </cell>
          <cell r="O51">
            <v>28288</v>
          </cell>
          <cell r="P51" t="str">
            <v>남</v>
          </cell>
          <cell r="Q51">
            <v>49</v>
          </cell>
          <cell r="R51">
            <v>47</v>
          </cell>
          <cell r="S51" t="str">
            <v>010-5245-2695</v>
          </cell>
          <cell r="T51" t="str">
            <v>경기도 화성시 동탄대로12길 71 센트럴힐즈 동탄아파트 1844동 503호</v>
          </cell>
          <cell r="U51" t="str">
            <v>byungmoon.kwak@neurophet.com</v>
          </cell>
        </row>
        <row r="52">
          <cell r="A52">
            <v>49</v>
          </cell>
          <cell r="B52">
            <v>22030204</v>
          </cell>
          <cell r="C52" t="str">
            <v>양현식</v>
          </cell>
          <cell r="D52" t="str">
            <v>연구본부</v>
          </cell>
          <cell r="E52" t="str">
            <v>AR3팀</v>
          </cell>
          <cell r="F52" t="str">
            <v>뇌영상분석</v>
          </cell>
          <cell r="G52" t="str">
            <v>Lead</v>
          </cell>
          <cell r="H52" t="str">
            <v>팀리드</v>
          </cell>
          <cell r="I52">
            <v>44622</v>
          </cell>
          <cell r="J52">
            <v>44622</v>
          </cell>
          <cell r="K52" t="str">
            <v>정규직</v>
          </cell>
          <cell r="L52" t="str">
            <v>연구직</v>
          </cell>
          <cell r="M52" t="str">
            <v>재직</v>
          </cell>
          <cell r="N52" t="str">
            <v>931222-1067728</v>
          </cell>
          <cell r="O52">
            <v>34325</v>
          </cell>
          <cell r="P52" t="str">
            <v>남</v>
          </cell>
          <cell r="Q52">
            <v>33</v>
          </cell>
          <cell r="R52">
            <v>31</v>
          </cell>
          <cell r="S52" t="str">
            <v>010-2632-3514</v>
          </cell>
          <cell r="T52" t="str">
            <v>서울시특별시 관악구 쑥고개로13길 6, 701호</v>
          </cell>
          <cell r="U52" t="str">
            <v>hsyang@neurophet.com</v>
          </cell>
        </row>
        <row r="53">
          <cell r="A53">
            <v>50</v>
          </cell>
          <cell r="B53">
            <v>22030205</v>
          </cell>
          <cell r="C53" t="str">
            <v>최영심</v>
          </cell>
          <cell r="D53" t="str">
            <v>연구본부</v>
          </cell>
          <cell r="E53" t="str">
            <v>NR1팀</v>
          </cell>
          <cell r="F53" t="str">
            <v>뇌영상분석</v>
          </cell>
          <cell r="G53" t="str">
            <v>Lead</v>
          </cell>
          <cell r="H53" t="str">
            <v>팀리드</v>
          </cell>
          <cell r="I53">
            <v>44622</v>
          </cell>
          <cell r="J53">
            <v>44622</v>
          </cell>
          <cell r="K53" t="str">
            <v>정규직</v>
          </cell>
          <cell r="L53" t="str">
            <v>연구직</v>
          </cell>
          <cell r="M53" t="str">
            <v>재직</v>
          </cell>
          <cell r="N53" t="str">
            <v>940509-2678416</v>
          </cell>
          <cell r="O53">
            <v>34463</v>
          </cell>
          <cell r="P53" t="str">
            <v>여</v>
          </cell>
          <cell r="Q53">
            <v>32</v>
          </cell>
          <cell r="R53">
            <v>30</v>
          </cell>
          <cell r="S53" t="str">
            <v>010-5923-4340</v>
          </cell>
          <cell r="T53" t="str">
            <v>서울특별시 송파구 송파동 25-14 301호</v>
          </cell>
          <cell r="U53" t="str">
            <v>yschoe@neurophet.com</v>
          </cell>
        </row>
        <row r="54">
          <cell r="A54">
            <v>51</v>
          </cell>
          <cell r="B54">
            <v>22030206</v>
          </cell>
          <cell r="C54" t="str">
            <v>천준우</v>
          </cell>
          <cell r="D54" t="str">
            <v>프로덕트본부</v>
          </cell>
          <cell r="E54" t="str">
            <v>SCM팀</v>
          </cell>
          <cell r="F54" t="str">
            <v>생산관리</v>
          </cell>
          <cell r="G54" t="str">
            <v>Lead</v>
          </cell>
          <cell r="H54" t="str">
            <v>팀리드</v>
          </cell>
          <cell r="I54">
            <v>44622</v>
          </cell>
          <cell r="J54">
            <v>44622</v>
          </cell>
          <cell r="K54" t="str">
            <v>정규직</v>
          </cell>
          <cell r="L54" t="str">
            <v>연구직</v>
          </cell>
          <cell r="M54" t="str">
            <v>재직</v>
          </cell>
          <cell r="N54" t="str">
            <v>871208-1114416</v>
          </cell>
          <cell r="O54">
            <v>32119</v>
          </cell>
          <cell r="P54" t="str">
            <v>남</v>
          </cell>
          <cell r="Q54">
            <v>39</v>
          </cell>
          <cell r="R54">
            <v>37</v>
          </cell>
          <cell r="S54" t="str">
            <v>010-9550-8282</v>
          </cell>
          <cell r="T54" t="str">
            <v>경기도 화성시 동탄신리천로 786 센트럴써밋 2306동 702호</v>
          </cell>
          <cell r="U54" t="str">
            <v>jwchun@neurophet.com</v>
          </cell>
        </row>
        <row r="55">
          <cell r="A55">
            <v>52</v>
          </cell>
          <cell r="B55">
            <v>22030701</v>
          </cell>
          <cell r="C55" t="str">
            <v>박성환</v>
          </cell>
          <cell r="D55" t="str">
            <v>연구본부</v>
          </cell>
          <cell r="E55" t="str">
            <v>AR1팀</v>
          </cell>
          <cell r="F55" t="str">
            <v>신경망</v>
          </cell>
          <cell r="G55" t="str">
            <v>Member</v>
          </cell>
          <cell r="H55" t="str">
            <v>멤버</v>
          </cell>
          <cell r="I55">
            <v>44627</v>
          </cell>
          <cell r="J55">
            <v>44627</v>
          </cell>
          <cell r="K55" t="str">
            <v>정규직</v>
          </cell>
          <cell r="L55" t="str">
            <v>연구직</v>
          </cell>
          <cell r="M55" t="str">
            <v>재직</v>
          </cell>
          <cell r="N55" t="str">
            <v>971111-1173612</v>
          </cell>
          <cell r="O55">
            <v>35745</v>
          </cell>
          <cell r="P55" t="str">
            <v>남</v>
          </cell>
          <cell r="Q55">
            <v>29</v>
          </cell>
          <cell r="R55">
            <v>27</v>
          </cell>
          <cell r="S55" t="str">
            <v>010-5428-2457</v>
          </cell>
          <cell r="T55" t="str">
            <v>서울특별시 동작구 사당로17길 52, 8동 1506호</v>
          </cell>
          <cell r="U55" t="str">
            <v>shpark@neurophet.com</v>
          </cell>
        </row>
        <row r="56">
          <cell r="A56">
            <v>53</v>
          </cell>
          <cell r="B56">
            <v>22031501</v>
          </cell>
          <cell r="C56" t="str">
            <v>윤재정</v>
          </cell>
          <cell r="D56" t="str">
            <v>경영본부</v>
          </cell>
          <cell r="E56" t="str">
            <v>PR팀</v>
          </cell>
          <cell r="F56" t="str">
            <v>디자인</v>
          </cell>
          <cell r="G56" t="str">
            <v>Member</v>
          </cell>
          <cell r="H56" t="str">
            <v>멤버</v>
          </cell>
          <cell r="I56">
            <v>44635</v>
          </cell>
          <cell r="J56">
            <v>44635</v>
          </cell>
          <cell r="K56" t="str">
            <v>정규직</v>
          </cell>
          <cell r="L56" t="str">
            <v>사무직</v>
          </cell>
          <cell r="M56" t="str">
            <v>재직</v>
          </cell>
          <cell r="N56" t="str">
            <v>951013-2162810</v>
          </cell>
          <cell r="O56">
            <v>34985</v>
          </cell>
          <cell r="P56" t="str">
            <v>여</v>
          </cell>
          <cell r="Q56">
            <v>31</v>
          </cell>
          <cell r="R56">
            <v>29</v>
          </cell>
          <cell r="S56" t="str">
            <v>010-9536-3260</v>
          </cell>
          <cell r="T56" t="str">
            <v>경기도 용인시 수지구 신봉 3로 25, 305-1101</v>
          </cell>
          <cell r="U56" t="str">
            <v>jjyoon@neurophet.com</v>
          </cell>
        </row>
        <row r="57">
          <cell r="A57">
            <v>54</v>
          </cell>
          <cell r="B57">
            <v>22040101</v>
          </cell>
          <cell r="C57" t="str">
            <v>조은혜</v>
          </cell>
          <cell r="D57" t="str">
            <v>프로덕트본부</v>
          </cell>
          <cell r="E57" t="str">
            <v>Vascular팀</v>
          </cell>
          <cell r="F57" t="str">
            <v>Front_End개발</v>
          </cell>
          <cell r="G57" t="str">
            <v>Member</v>
          </cell>
          <cell r="H57" t="str">
            <v>멤버</v>
          </cell>
          <cell r="I57">
            <v>44652</v>
          </cell>
          <cell r="J57">
            <v>44652</v>
          </cell>
          <cell r="K57" t="str">
            <v>정규직</v>
          </cell>
          <cell r="L57" t="str">
            <v>연구직</v>
          </cell>
          <cell r="M57" t="str">
            <v>재직</v>
          </cell>
          <cell r="N57" t="str">
            <v>840913-2074818</v>
          </cell>
          <cell r="O57">
            <v>30938</v>
          </cell>
          <cell r="P57" t="str">
            <v>여</v>
          </cell>
          <cell r="Q57">
            <v>42</v>
          </cell>
          <cell r="R57">
            <v>40</v>
          </cell>
          <cell r="S57" t="str">
            <v>010-9156-2674</v>
          </cell>
          <cell r="T57" t="str">
            <v>경기도 성남시 중원구 둔촌대로113번길 12-1 (성남동, 럭키타운빌) 3동 302호</v>
          </cell>
          <cell r="U57" t="str">
            <v>eunhyecho@neurophet.com</v>
          </cell>
        </row>
        <row r="58">
          <cell r="A58">
            <v>55</v>
          </cell>
          <cell r="B58">
            <v>22040102</v>
          </cell>
          <cell r="C58" t="str">
            <v>이윤진</v>
          </cell>
          <cell r="D58" t="str">
            <v>비즈니스본부</v>
          </cell>
          <cell r="E58" t="str">
            <v>마케팅팀</v>
          </cell>
          <cell r="F58" t="str">
            <v>마케팅</v>
          </cell>
          <cell r="G58" t="str">
            <v>Member</v>
          </cell>
          <cell r="H58" t="str">
            <v>멤버</v>
          </cell>
          <cell r="I58">
            <v>44652</v>
          </cell>
          <cell r="J58">
            <v>44652</v>
          </cell>
          <cell r="K58" t="str">
            <v>정규직</v>
          </cell>
          <cell r="L58" t="str">
            <v>사무직</v>
          </cell>
          <cell r="M58" t="str">
            <v>재직</v>
          </cell>
          <cell r="N58" t="str">
            <v>880327-2188011</v>
          </cell>
          <cell r="O58">
            <v>32229</v>
          </cell>
          <cell r="P58" t="str">
            <v>여</v>
          </cell>
          <cell r="Q58">
            <v>38</v>
          </cell>
          <cell r="R58">
            <v>37</v>
          </cell>
          <cell r="S58" t="str">
            <v>010-8650-2105</v>
          </cell>
          <cell r="T58" t="str">
            <v>경기도 수원시 영통구 웰빙타운로 19 8204동 604호</v>
          </cell>
          <cell r="U58" t="str">
            <v>yjlee@neurophet.com</v>
          </cell>
        </row>
        <row r="59">
          <cell r="A59">
            <v>56</v>
          </cell>
          <cell r="B59">
            <v>22041101</v>
          </cell>
          <cell r="C59" t="str">
            <v>조용우</v>
          </cell>
          <cell r="D59" t="str">
            <v>대표이사</v>
          </cell>
          <cell r="E59" t="str">
            <v>QA팀</v>
          </cell>
          <cell r="F59" t="str">
            <v>QA</v>
          </cell>
          <cell r="G59" t="str">
            <v>Lead</v>
          </cell>
          <cell r="H59" t="str">
            <v>팀리드</v>
          </cell>
          <cell r="I59">
            <v>44662</v>
          </cell>
          <cell r="J59">
            <v>44662</v>
          </cell>
          <cell r="K59" t="str">
            <v>정규직</v>
          </cell>
          <cell r="L59" t="str">
            <v>사무직</v>
          </cell>
          <cell r="M59" t="str">
            <v>재직</v>
          </cell>
          <cell r="N59" t="str">
            <v>820112-1019116</v>
          </cell>
          <cell r="O59">
            <v>29963</v>
          </cell>
          <cell r="P59" t="str">
            <v>남</v>
          </cell>
          <cell r="Q59">
            <v>44</v>
          </cell>
          <cell r="R59">
            <v>43</v>
          </cell>
          <cell r="S59" t="str">
            <v>010-9262-3713</v>
          </cell>
          <cell r="T59" t="str">
            <v>경기도 용인시 기흥구 흥덕3로 60 호반베르디움 1404동 1202호</v>
          </cell>
          <cell r="U59" t="str">
            <v>ywcho@neurophet.com</v>
          </cell>
        </row>
        <row r="60">
          <cell r="A60">
            <v>57</v>
          </cell>
          <cell r="B60">
            <v>22041102</v>
          </cell>
          <cell r="C60" t="str">
            <v>김현정</v>
          </cell>
          <cell r="D60" t="str">
            <v>비즈니스본부</v>
          </cell>
          <cell r="E60" t="str">
            <v>마케팅팀</v>
          </cell>
          <cell r="F60" t="str">
            <v>Medical Director</v>
          </cell>
          <cell r="G60" t="str">
            <v>Medical Director</v>
          </cell>
          <cell r="H60" t="str">
            <v>멤버</v>
          </cell>
          <cell r="I60">
            <v>44662</v>
          </cell>
          <cell r="J60">
            <v>44662</v>
          </cell>
          <cell r="K60" t="str">
            <v>정규직</v>
          </cell>
          <cell r="L60" t="str">
            <v>사무직</v>
          </cell>
          <cell r="M60" t="str">
            <v>재직</v>
          </cell>
          <cell r="N60" t="str">
            <v>740213-2120611</v>
          </cell>
          <cell r="O60">
            <v>27073</v>
          </cell>
          <cell r="P60" t="str">
            <v>여</v>
          </cell>
          <cell r="Q60">
            <v>52</v>
          </cell>
          <cell r="R60">
            <v>51</v>
          </cell>
          <cell r="S60" t="str">
            <v>010-3594-6216</v>
          </cell>
          <cell r="T60" t="str">
            <v>서울특별시 영등포구 여의도동 63로 45 여의도 시범 아파트 21-112</v>
          </cell>
          <cell r="U60" t="str">
            <v>hjkim@neurophet.com</v>
          </cell>
        </row>
        <row r="61">
          <cell r="A61">
            <v>58</v>
          </cell>
          <cell r="B61">
            <v>22042501</v>
          </cell>
          <cell r="C61" t="str">
            <v>조은경</v>
          </cell>
          <cell r="D61" t="str">
            <v>프로덕트본부</v>
          </cell>
          <cell r="E61" t="str">
            <v>UX팀</v>
          </cell>
          <cell r="F61" t="str">
            <v>디자인</v>
          </cell>
          <cell r="G61" t="str">
            <v>Member</v>
          </cell>
          <cell r="H61" t="str">
            <v>멤버</v>
          </cell>
          <cell r="I61">
            <v>44676</v>
          </cell>
          <cell r="J61">
            <v>44676</v>
          </cell>
          <cell r="K61" t="str">
            <v>정규직</v>
          </cell>
          <cell r="L61" t="str">
            <v>연구직</v>
          </cell>
          <cell r="M61" t="str">
            <v>재직</v>
          </cell>
          <cell r="N61" t="str">
            <v>830217-2070225</v>
          </cell>
          <cell r="O61">
            <v>30364</v>
          </cell>
          <cell r="P61" t="str">
            <v>여</v>
          </cell>
          <cell r="Q61">
            <v>43</v>
          </cell>
          <cell r="R61">
            <v>42</v>
          </cell>
          <cell r="S61" t="str">
            <v>010-6299-8662</v>
          </cell>
          <cell r="T61" t="str">
            <v>경기도 부천시 지봉로143번길 38 역곡e편한세상2차아파트 201동 309호</v>
          </cell>
          <cell r="U61" t="str">
            <v>ekcho@neurophet.com</v>
          </cell>
        </row>
        <row r="62">
          <cell r="A62">
            <v>59</v>
          </cell>
          <cell r="B62">
            <v>22060201</v>
          </cell>
          <cell r="C62" t="str">
            <v>서강희</v>
          </cell>
          <cell r="D62" t="str">
            <v>프로덕트본부</v>
          </cell>
          <cell r="E62" t="str">
            <v>AD팀</v>
          </cell>
          <cell r="F62" t="str">
            <v>백엔드_개발</v>
          </cell>
          <cell r="G62" t="str">
            <v>Lead</v>
          </cell>
          <cell r="H62" t="str">
            <v>팀리드</v>
          </cell>
          <cell r="I62">
            <v>44714</v>
          </cell>
          <cell r="J62">
            <v>44714</v>
          </cell>
          <cell r="K62" t="str">
            <v>정규직</v>
          </cell>
          <cell r="L62" t="str">
            <v>연구직</v>
          </cell>
          <cell r="M62" t="str">
            <v>재직</v>
          </cell>
          <cell r="N62" t="str">
            <v>790218-1010719</v>
          </cell>
          <cell r="O62">
            <v>28904</v>
          </cell>
          <cell r="P62" t="str">
            <v>남</v>
          </cell>
          <cell r="Q62">
            <v>47</v>
          </cell>
          <cell r="R62">
            <v>46</v>
          </cell>
          <cell r="S62" t="str">
            <v>010-8420-0808</v>
          </cell>
          <cell r="T62" t="str">
            <v>서울특별시 성북구 돌곶이로40길 46, 꿈의숲 아이파크, 707동 201호</v>
          </cell>
          <cell r="U62" t="str">
            <v>kelly.seo@neurophet.com</v>
          </cell>
        </row>
        <row r="63">
          <cell r="A63">
            <v>60</v>
          </cell>
          <cell r="B63">
            <v>22060701</v>
          </cell>
          <cell r="C63" t="str">
            <v>권재현</v>
          </cell>
          <cell r="D63" t="str">
            <v>경영본부</v>
          </cell>
          <cell r="E63" t="str">
            <v>PR팀</v>
          </cell>
          <cell r="F63" t="str">
            <v>PR</v>
          </cell>
          <cell r="G63" t="str">
            <v>Lead</v>
          </cell>
          <cell r="H63" t="str">
            <v>팀리드</v>
          </cell>
          <cell r="I63">
            <v>44719</v>
          </cell>
          <cell r="J63">
            <v>44719</v>
          </cell>
          <cell r="K63" t="str">
            <v>정규직</v>
          </cell>
          <cell r="L63" t="str">
            <v>사무직</v>
          </cell>
          <cell r="M63" t="str">
            <v>재직</v>
          </cell>
          <cell r="N63" t="str">
            <v>900619-2675116</v>
          </cell>
          <cell r="O63">
            <v>33043</v>
          </cell>
          <cell r="P63" t="str">
            <v>여</v>
          </cell>
          <cell r="Q63">
            <v>36</v>
          </cell>
          <cell r="R63">
            <v>34</v>
          </cell>
          <cell r="S63" t="str">
            <v>010-9629-1216</v>
          </cell>
          <cell r="T63" t="str">
            <v>경기도 군포시 산본로296, 101동 1305호</v>
          </cell>
          <cell r="U63" t="str">
            <v>jhkwon@neurophet.com</v>
          </cell>
        </row>
        <row r="64">
          <cell r="A64">
            <v>61</v>
          </cell>
          <cell r="B64">
            <v>22071101</v>
          </cell>
          <cell r="C64" t="str">
            <v>김형택</v>
          </cell>
          <cell r="D64" t="str">
            <v>연구본부</v>
          </cell>
          <cell r="E64" t="str">
            <v>뇌자극팀</v>
          </cell>
          <cell r="F64" t="str">
            <v>데이터분석 및 연구개발</v>
          </cell>
          <cell r="G64" t="str">
            <v>Lead</v>
          </cell>
          <cell r="H64" t="str">
            <v>팀리드</v>
          </cell>
          <cell r="I64">
            <v>44753</v>
          </cell>
          <cell r="J64">
            <v>44753</v>
          </cell>
          <cell r="K64" t="str">
            <v>정규직</v>
          </cell>
          <cell r="L64" t="str">
            <v>연구직</v>
          </cell>
          <cell r="M64" t="str">
            <v>재직</v>
          </cell>
          <cell r="N64" t="str">
            <v>921209-1081623</v>
          </cell>
          <cell r="O64">
            <v>33947</v>
          </cell>
          <cell r="P64" t="str">
            <v>남</v>
          </cell>
          <cell r="Q64">
            <v>34</v>
          </cell>
          <cell r="R64">
            <v>32</v>
          </cell>
          <cell r="S64" t="str">
            <v>010-7940-6265</v>
          </cell>
          <cell r="T64" t="str">
            <v>서울특별시 강남구 강남대로 328, 1309호</v>
          </cell>
          <cell r="U64" t="str">
            <v>htkim@neurophet.com</v>
          </cell>
        </row>
        <row r="65">
          <cell r="A65">
            <v>62</v>
          </cell>
          <cell r="B65">
            <v>22080101</v>
          </cell>
          <cell r="C65" t="str">
            <v>전병은</v>
          </cell>
          <cell r="D65" t="str">
            <v>비즈니스본부</v>
          </cell>
          <cell r="E65" t="str">
            <v>해외세일즈팀</v>
          </cell>
          <cell r="F65" t="str">
            <v>BD</v>
          </cell>
          <cell r="G65" t="str">
            <v>Member</v>
          </cell>
          <cell r="H65" t="str">
            <v>멤버</v>
          </cell>
          <cell r="I65">
            <v>44774</v>
          </cell>
          <cell r="J65">
            <v>44774</v>
          </cell>
          <cell r="K65" t="str">
            <v>정규직</v>
          </cell>
          <cell r="L65" t="str">
            <v>사무직</v>
          </cell>
          <cell r="M65" t="str">
            <v>재직</v>
          </cell>
          <cell r="N65" t="str">
            <v>851125-2054012</v>
          </cell>
          <cell r="O65">
            <v>31376</v>
          </cell>
          <cell r="P65" t="str">
            <v>여</v>
          </cell>
          <cell r="Q65">
            <v>41</v>
          </cell>
          <cell r="R65">
            <v>39</v>
          </cell>
          <cell r="S65" t="str">
            <v>010-3171-5822</v>
          </cell>
          <cell r="T65" t="str">
            <v>서울특별시 동대문구 사가정로 6 청계Gwell Estates 713</v>
          </cell>
          <cell r="U65" t="str">
            <v>jay_j@neurophet.com</v>
          </cell>
        </row>
        <row r="66">
          <cell r="A66">
            <v>63</v>
          </cell>
          <cell r="B66">
            <v>22081601</v>
          </cell>
          <cell r="C66" t="str">
            <v>이현지</v>
          </cell>
          <cell r="D66" t="str">
            <v>연구본부</v>
          </cell>
          <cell r="E66" t="str">
            <v>통계팀</v>
          </cell>
          <cell r="F66" t="str">
            <v>뇌영상분석</v>
          </cell>
          <cell r="G66" t="str">
            <v>Member</v>
          </cell>
          <cell r="H66" t="str">
            <v>멤버</v>
          </cell>
          <cell r="I66">
            <v>44789</v>
          </cell>
          <cell r="J66">
            <v>44789</v>
          </cell>
          <cell r="K66" t="str">
            <v>정규직</v>
          </cell>
          <cell r="L66" t="str">
            <v>연구직</v>
          </cell>
          <cell r="M66" t="str">
            <v>재직</v>
          </cell>
          <cell r="N66" t="str">
            <v>981124-2095622</v>
          </cell>
          <cell r="O66">
            <v>36123</v>
          </cell>
          <cell r="P66" t="str">
            <v>여</v>
          </cell>
          <cell r="Q66">
            <v>28</v>
          </cell>
          <cell r="R66">
            <v>26</v>
          </cell>
          <cell r="S66" t="str">
            <v>010-8902-1656</v>
          </cell>
          <cell r="T66" t="str">
            <v>서울특별시 관악구 봉천동 40-33 301호</v>
          </cell>
          <cell r="U66" t="str">
            <v>hj.lee@neurophet.com</v>
          </cell>
        </row>
        <row r="67">
          <cell r="A67">
            <v>64</v>
          </cell>
          <cell r="B67">
            <v>22082901</v>
          </cell>
          <cell r="C67" t="str">
            <v>김수환</v>
          </cell>
          <cell r="D67" t="str">
            <v>비즈니스본부</v>
          </cell>
          <cell r="E67" t="str">
            <v>마케팅팀</v>
          </cell>
          <cell r="F67" t="str">
            <v>마케팅</v>
          </cell>
          <cell r="G67" t="str">
            <v>Director</v>
          </cell>
          <cell r="H67" t="str">
            <v>팀리드</v>
          </cell>
          <cell r="I67">
            <v>44802</v>
          </cell>
          <cell r="J67">
            <v>44802</v>
          </cell>
          <cell r="K67" t="str">
            <v>정규직</v>
          </cell>
          <cell r="L67" t="str">
            <v>사무직</v>
          </cell>
          <cell r="M67" t="str">
            <v>재직</v>
          </cell>
          <cell r="N67" t="str">
            <v>820413-1683313</v>
          </cell>
          <cell r="O67">
            <v>30054</v>
          </cell>
          <cell r="P67" t="str">
            <v>남</v>
          </cell>
          <cell r="Q67">
            <v>44</v>
          </cell>
          <cell r="R67">
            <v>42</v>
          </cell>
          <cell r="S67" t="str">
            <v>010-2754-7939</v>
          </cell>
          <cell r="T67" t="str">
            <v>서울특별시 광성로17 신촌숲아이파크 101동 201호</v>
          </cell>
          <cell r="U67" t="str">
            <v>suhwan@neurophet.com</v>
          </cell>
        </row>
        <row r="68">
          <cell r="A68">
            <v>65</v>
          </cell>
          <cell r="B68">
            <v>22090101</v>
          </cell>
          <cell r="C68" t="str">
            <v>이기정</v>
          </cell>
          <cell r="D68" t="str">
            <v>연구본부</v>
          </cell>
          <cell r="E68" t="str">
            <v>의학팀</v>
          </cell>
          <cell r="F68" t="str">
            <v>Medical Director</v>
          </cell>
          <cell r="G68" t="str">
            <v>Medical Director</v>
          </cell>
          <cell r="H68" t="str">
            <v>멤버</v>
          </cell>
          <cell r="I68">
            <v>44805</v>
          </cell>
          <cell r="J68">
            <v>44805</v>
          </cell>
          <cell r="K68" t="str">
            <v>정규직</v>
          </cell>
          <cell r="L68" t="str">
            <v>연구직</v>
          </cell>
          <cell r="M68" t="str">
            <v>재직</v>
          </cell>
          <cell r="N68" t="str">
            <v>820603-2047121</v>
          </cell>
          <cell r="O68">
            <v>30105</v>
          </cell>
          <cell r="P68" t="str">
            <v>여</v>
          </cell>
          <cell r="Q68">
            <v>44</v>
          </cell>
          <cell r="R68">
            <v>42</v>
          </cell>
          <cell r="S68" t="str">
            <v>010-7192-8804</v>
          </cell>
          <cell r="T68" t="str">
            <v>서울특별시 서초구 방배로19길 67, 101동 1107호</v>
          </cell>
          <cell r="U68" t="str">
            <v>kjlee@neurophet.com</v>
          </cell>
        </row>
        <row r="69">
          <cell r="A69">
            <v>66</v>
          </cell>
          <cell r="B69">
            <v>22092601</v>
          </cell>
          <cell r="C69" t="str">
            <v>김혜원</v>
          </cell>
          <cell r="D69" t="str">
            <v>연구본부</v>
          </cell>
          <cell r="E69" t="str">
            <v>의학팀</v>
          </cell>
          <cell r="F69" t="str">
            <v>Medical Director</v>
          </cell>
          <cell r="G69" t="str">
            <v>Medical Director</v>
          </cell>
          <cell r="H69" t="str">
            <v>멤버</v>
          </cell>
          <cell r="I69">
            <v>44830</v>
          </cell>
          <cell r="J69">
            <v>44830</v>
          </cell>
          <cell r="K69" t="str">
            <v>정규직</v>
          </cell>
          <cell r="L69" t="str">
            <v>연구직</v>
          </cell>
          <cell r="M69" t="str">
            <v>재직</v>
          </cell>
          <cell r="N69" t="str">
            <v>890227-2691319</v>
          </cell>
          <cell r="O69">
            <v>32566</v>
          </cell>
          <cell r="P69" t="str">
            <v>여</v>
          </cell>
          <cell r="Q69">
            <v>37</v>
          </cell>
          <cell r="R69">
            <v>36</v>
          </cell>
          <cell r="S69" t="str">
            <v>010-8427-9039</v>
          </cell>
          <cell r="T69" t="str">
            <v>서울특별시 강동구 상암로 51길 61 101동 2109호</v>
          </cell>
          <cell r="U69" t="str">
            <v>hye@neurophet.com</v>
          </cell>
        </row>
        <row r="70">
          <cell r="A70">
            <v>67</v>
          </cell>
          <cell r="B70">
            <v>22110101</v>
          </cell>
          <cell r="C70" t="str">
            <v>김경민</v>
          </cell>
          <cell r="D70" t="str">
            <v>프로덕트본부</v>
          </cell>
          <cell r="E70" t="str">
            <v>PMO실</v>
          </cell>
          <cell r="F70" t="str">
            <v>Tech Writer</v>
          </cell>
          <cell r="G70" t="str">
            <v>Member</v>
          </cell>
          <cell r="H70" t="str">
            <v>멤버</v>
          </cell>
          <cell r="I70">
            <v>44866</v>
          </cell>
          <cell r="J70">
            <v>44866</v>
          </cell>
          <cell r="K70" t="str">
            <v>정규직</v>
          </cell>
          <cell r="L70" t="str">
            <v>연구직</v>
          </cell>
          <cell r="M70" t="str">
            <v>재직</v>
          </cell>
          <cell r="N70" t="str">
            <v>790719-2840711</v>
          </cell>
          <cell r="O70">
            <v>29055</v>
          </cell>
          <cell r="P70" t="str">
            <v>여</v>
          </cell>
          <cell r="Q70">
            <v>47</v>
          </cell>
          <cell r="R70">
            <v>45</v>
          </cell>
          <cell r="S70" t="str">
            <v>010-3639-3418</v>
          </cell>
          <cell r="T70" t="str">
            <v>경기도 이천시 증신로 309 105동 1302호</v>
          </cell>
          <cell r="U70" t="str">
            <v>kyungminkim@neurophet.com</v>
          </cell>
        </row>
        <row r="71">
          <cell r="A71">
            <v>68</v>
          </cell>
          <cell r="B71">
            <v>22110701</v>
          </cell>
          <cell r="C71" t="str">
            <v>김상덕</v>
          </cell>
          <cell r="D71" t="str">
            <v>프로덕트본부</v>
          </cell>
          <cell r="E71" t="str">
            <v>PET팀</v>
          </cell>
          <cell r="F71" t="str">
            <v>개발</v>
          </cell>
          <cell r="G71" t="str">
            <v>Member</v>
          </cell>
          <cell r="H71" t="str">
            <v>멤버</v>
          </cell>
          <cell r="I71">
            <v>44872</v>
          </cell>
          <cell r="J71">
            <v>44872</v>
          </cell>
          <cell r="K71" t="str">
            <v>정규직</v>
          </cell>
          <cell r="L71" t="str">
            <v>연구직</v>
          </cell>
          <cell r="M71" t="str">
            <v>재직</v>
          </cell>
          <cell r="N71" t="str">
            <v>881122-1043111</v>
          </cell>
          <cell r="O71">
            <v>32469</v>
          </cell>
          <cell r="P71" t="str">
            <v>남</v>
          </cell>
          <cell r="Q71">
            <v>38</v>
          </cell>
          <cell r="R71">
            <v>36</v>
          </cell>
          <cell r="S71" t="str">
            <v>010-6234-5642</v>
          </cell>
          <cell r="T71" t="str">
            <v>서울특별시 은평구 역촌동 2-64</v>
          </cell>
          <cell r="U71" t="str">
            <v>sdkim@neurophet.com</v>
          </cell>
        </row>
        <row r="72">
          <cell r="A72">
            <v>69</v>
          </cell>
          <cell r="B72">
            <v>22112101</v>
          </cell>
          <cell r="C72" t="str">
            <v>우종호</v>
          </cell>
          <cell r="D72" t="str">
            <v>비즈니스본부</v>
          </cell>
          <cell r="E72" t="str">
            <v>국내세일즈팀</v>
          </cell>
          <cell r="F72" t="str">
            <v>영업</v>
          </cell>
          <cell r="G72" t="str">
            <v>Lead</v>
          </cell>
          <cell r="H72" t="str">
            <v>팀리드</v>
          </cell>
          <cell r="I72">
            <v>44886</v>
          </cell>
          <cell r="J72">
            <v>44886</v>
          </cell>
          <cell r="K72" t="str">
            <v>정규직</v>
          </cell>
          <cell r="L72" t="str">
            <v>사무직</v>
          </cell>
          <cell r="M72" t="str">
            <v>재직</v>
          </cell>
          <cell r="N72" t="str">
            <v>820116-1009523</v>
          </cell>
          <cell r="O72">
            <v>29967</v>
          </cell>
          <cell r="P72" t="str">
            <v>남</v>
          </cell>
          <cell r="Q72">
            <v>44</v>
          </cell>
          <cell r="R72">
            <v>43</v>
          </cell>
          <cell r="S72" t="str">
            <v>010-8845-0393</v>
          </cell>
          <cell r="T72" t="str">
            <v>경기도 남양주시 호평동 615 신명스카이뷰 1404동 1101호</v>
          </cell>
          <cell r="U72" t="str">
            <v>woojongho82@neurophet.com</v>
          </cell>
        </row>
        <row r="73">
          <cell r="A73">
            <v>70</v>
          </cell>
          <cell r="B73">
            <v>22121201</v>
          </cell>
          <cell r="C73" t="str">
            <v>장하림</v>
          </cell>
          <cell r="D73" t="str">
            <v>대표이사</v>
          </cell>
          <cell r="E73" t="str">
            <v>SV팀</v>
          </cell>
          <cell r="F73" t="str">
            <v>SQA</v>
          </cell>
          <cell r="G73" t="str">
            <v>Member</v>
          </cell>
          <cell r="H73" t="str">
            <v>멤버</v>
          </cell>
          <cell r="I73">
            <v>44907</v>
          </cell>
          <cell r="J73">
            <v>44907</v>
          </cell>
          <cell r="K73" t="str">
            <v>정규직</v>
          </cell>
          <cell r="L73" t="str">
            <v>사무직</v>
          </cell>
          <cell r="M73" t="str">
            <v>재직</v>
          </cell>
          <cell r="N73" t="str">
            <v>951224-2352515</v>
          </cell>
          <cell r="O73">
            <v>35057</v>
          </cell>
          <cell r="P73" t="str">
            <v>여</v>
          </cell>
          <cell r="Q73">
            <v>31</v>
          </cell>
          <cell r="R73">
            <v>29</v>
          </cell>
          <cell r="S73" t="str">
            <v>010-6330-9303</v>
          </cell>
          <cell r="T73" t="str">
            <v>경기도 화성시 삼천병마로 1256-13 102동 1004호</v>
          </cell>
          <cell r="U73" t="str">
            <v>harim@neurophet.com</v>
          </cell>
        </row>
        <row r="74">
          <cell r="A74">
            <v>71</v>
          </cell>
          <cell r="B74">
            <v>22121901</v>
          </cell>
          <cell r="C74" t="str">
            <v>이승룡</v>
          </cell>
          <cell r="D74" t="str">
            <v>프로덕트본부</v>
          </cell>
          <cell r="E74" t="str">
            <v>AQUA팀</v>
          </cell>
          <cell r="F74" t="str">
            <v>Backend</v>
          </cell>
          <cell r="G74" t="str">
            <v>Member</v>
          </cell>
          <cell r="H74" t="str">
            <v>멤버</v>
          </cell>
          <cell r="I74">
            <v>44914</v>
          </cell>
          <cell r="J74">
            <v>44914</v>
          </cell>
          <cell r="K74" t="str">
            <v>정규직</v>
          </cell>
          <cell r="L74" t="str">
            <v>연구직</v>
          </cell>
          <cell r="M74" t="str">
            <v>재직</v>
          </cell>
          <cell r="N74" t="str">
            <v>900710-1184118</v>
          </cell>
          <cell r="O74">
            <v>33064</v>
          </cell>
          <cell r="P74" t="str">
            <v>남</v>
          </cell>
          <cell r="Q74">
            <v>36</v>
          </cell>
          <cell r="R74">
            <v>34</v>
          </cell>
          <cell r="S74" t="str">
            <v>010-4208-1542</v>
          </cell>
          <cell r="T74" t="str">
            <v>경기도 성남시 분당구 판교공원로2길 19, 2층 202호</v>
          </cell>
          <cell r="U74" t="str">
            <v>lsr@neurophet.com</v>
          </cell>
        </row>
        <row r="75">
          <cell r="A75">
            <v>72</v>
          </cell>
          <cell r="B75">
            <v>23011601</v>
          </cell>
          <cell r="C75" t="str">
            <v>김준혁</v>
          </cell>
          <cell r="D75" t="str">
            <v>프로덕트본부</v>
          </cell>
          <cell r="E75" t="str">
            <v>Vascular팀</v>
          </cell>
          <cell r="F75" t="str">
            <v>개발</v>
          </cell>
          <cell r="G75" t="str">
            <v>Member</v>
          </cell>
          <cell r="H75" t="str">
            <v>멤버</v>
          </cell>
          <cell r="I75">
            <v>44942</v>
          </cell>
          <cell r="J75">
            <v>44942</v>
          </cell>
          <cell r="K75" t="str">
            <v>정규직</v>
          </cell>
          <cell r="L75" t="str">
            <v>연구직</v>
          </cell>
          <cell r="M75" t="str">
            <v>재직</v>
          </cell>
          <cell r="N75" t="str">
            <v>851016-1804615</v>
          </cell>
          <cell r="O75">
            <v>31336</v>
          </cell>
          <cell r="P75" t="str">
            <v>남</v>
          </cell>
          <cell r="Q75">
            <v>41</v>
          </cell>
          <cell r="R75">
            <v>39</v>
          </cell>
          <cell r="S75" t="str">
            <v>010-4456-1016</v>
          </cell>
          <cell r="T75" t="str">
            <v>서울특별시 동작구 대방동2길 42 대방아파트 201호</v>
          </cell>
          <cell r="U75" t="str">
            <v>junhyuk@neurophet.com</v>
          </cell>
        </row>
        <row r="76">
          <cell r="A76">
            <v>73</v>
          </cell>
          <cell r="B76">
            <v>23022001</v>
          </cell>
          <cell r="C76" t="str">
            <v>유상하</v>
          </cell>
          <cell r="D76" t="str">
            <v>비즈니스본부</v>
          </cell>
          <cell r="E76" t="str">
            <v>마케팅팀</v>
          </cell>
          <cell r="F76" t="str">
            <v>제품마케팅</v>
          </cell>
          <cell r="G76" t="str">
            <v>Member</v>
          </cell>
          <cell r="H76" t="str">
            <v>멤버</v>
          </cell>
          <cell r="I76">
            <v>44977</v>
          </cell>
          <cell r="J76">
            <v>44977</v>
          </cell>
          <cell r="K76" t="str">
            <v>정규직</v>
          </cell>
          <cell r="L76" t="str">
            <v>사무직</v>
          </cell>
          <cell r="M76" t="str">
            <v>재직</v>
          </cell>
          <cell r="N76" t="str">
            <v>891215-2070319</v>
          </cell>
          <cell r="O76">
            <v>32857</v>
          </cell>
          <cell r="P76" t="str">
            <v>여</v>
          </cell>
          <cell r="Q76">
            <v>37</v>
          </cell>
          <cell r="R76">
            <v>35</v>
          </cell>
          <cell r="S76" t="str">
            <v>010-7618-3117</v>
          </cell>
          <cell r="T76" t="str">
            <v>서울특별시 송파구 올림픽로32길 19-24</v>
          </cell>
          <cell r="U76" t="str">
            <v>shryu@neurophet.com</v>
          </cell>
        </row>
        <row r="77">
          <cell r="A77">
            <v>74</v>
          </cell>
          <cell r="B77">
            <v>23022701</v>
          </cell>
          <cell r="C77" t="str">
            <v>조상영</v>
          </cell>
          <cell r="D77" t="str">
            <v>연구본부</v>
          </cell>
          <cell r="E77" t="str">
            <v>AR1팀</v>
          </cell>
          <cell r="F77" t="str">
            <v>인공지능개발</v>
          </cell>
          <cell r="G77" t="str">
            <v>Member</v>
          </cell>
          <cell r="H77" t="str">
            <v>멤버</v>
          </cell>
          <cell r="I77">
            <v>44984</v>
          </cell>
          <cell r="J77">
            <v>44984</v>
          </cell>
          <cell r="K77" t="str">
            <v>정규직</v>
          </cell>
          <cell r="L77" t="str">
            <v>연구직</v>
          </cell>
          <cell r="M77" t="str">
            <v>재직</v>
          </cell>
          <cell r="N77" t="str">
            <v>950623-1929415</v>
          </cell>
          <cell r="O77">
            <v>34873</v>
          </cell>
          <cell r="P77" t="str">
            <v>남</v>
          </cell>
          <cell r="Q77">
            <v>31</v>
          </cell>
          <cell r="R77">
            <v>29</v>
          </cell>
          <cell r="S77" t="str">
            <v>010-2865-7058</v>
          </cell>
          <cell r="T77" t="str">
            <v>서울특별시 송파구 백제고분로50길 41-16 202호</v>
          </cell>
          <cell r="U77" t="str">
            <v>jsy@neurophet.com</v>
          </cell>
        </row>
        <row r="78">
          <cell r="A78">
            <v>75</v>
          </cell>
          <cell r="B78">
            <v>23042401</v>
          </cell>
          <cell r="C78" t="str">
            <v>최지원</v>
          </cell>
          <cell r="D78" t="str">
            <v>비즈니스본부</v>
          </cell>
          <cell r="E78" t="str">
            <v>영업관리팀</v>
          </cell>
          <cell r="F78" t="str">
            <v>영업지원</v>
          </cell>
          <cell r="G78" t="str">
            <v>Member</v>
          </cell>
          <cell r="H78" t="str">
            <v>멤버</v>
          </cell>
          <cell r="I78">
            <v>45040</v>
          </cell>
          <cell r="J78">
            <v>45131</v>
          </cell>
          <cell r="K78" t="str">
            <v>정규직</v>
          </cell>
          <cell r="L78" t="str">
            <v>사무직</v>
          </cell>
          <cell r="M78" t="str">
            <v>재직</v>
          </cell>
          <cell r="N78" t="str">
            <v>040521-4071918</v>
          </cell>
          <cell r="O78">
            <v>38128</v>
          </cell>
          <cell r="P78" t="str">
            <v>여</v>
          </cell>
          <cell r="Q78">
            <v>22</v>
          </cell>
          <cell r="R78">
            <v>20</v>
          </cell>
          <cell r="S78" t="str">
            <v>010-4065-5897</v>
          </cell>
          <cell r="T78" t="str">
            <v>서울특별시 서초구 방배중앙로23길11, 401호(방배동)</v>
          </cell>
          <cell r="U78" t="str">
            <v>jiwon@neurophet.com</v>
          </cell>
        </row>
        <row r="79">
          <cell r="A79">
            <v>76</v>
          </cell>
          <cell r="B79">
            <v>23071702</v>
          </cell>
          <cell r="C79" t="str">
            <v>박미정</v>
          </cell>
          <cell r="D79" t="str">
            <v>연구본부</v>
          </cell>
          <cell r="E79" t="str">
            <v>TechOps팀</v>
          </cell>
          <cell r="F79" t="str">
            <v>Dataops</v>
          </cell>
          <cell r="G79" t="str">
            <v>Lead</v>
          </cell>
          <cell r="H79" t="str">
            <v>팀리드</v>
          </cell>
          <cell r="I79">
            <v>45124</v>
          </cell>
          <cell r="J79">
            <v>45124</v>
          </cell>
          <cell r="K79" t="str">
            <v>정규직</v>
          </cell>
          <cell r="L79" t="str">
            <v>연구직</v>
          </cell>
          <cell r="M79" t="str">
            <v>재직</v>
          </cell>
          <cell r="N79" t="str">
            <v>910529-2351223</v>
          </cell>
          <cell r="O79">
            <v>33387</v>
          </cell>
          <cell r="P79" t="str">
            <v>여</v>
          </cell>
          <cell r="Q79">
            <v>35</v>
          </cell>
          <cell r="R79">
            <v>33</v>
          </cell>
          <cell r="S79" t="str">
            <v>010-9161-2950</v>
          </cell>
          <cell r="T79" t="str">
            <v>경기도 시흥시 장현능곡로 144, 501동 105호</v>
          </cell>
          <cell r="U79" t="str">
            <v>mijung@neurophet.com</v>
          </cell>
        </row>
        <row r="80">
          <cell r="A80">
            <v>77</v>
          </cell>
          <cell r="B80">
            <v>23072401</v>
          </cell>
          <cell r="C80" t="str">
            <v>김하진</v>
          </cell>
          <cell r="D80" t="str">
            <v>연구본부</v>
          </cell>
          <cell r="E80" t="str">
            <v>TechOps팀</v>
          </cell>
          <cell r="F80" t="str">
            <v>영상데이터 분석연구</v>
          </cell>
          <cell r="G80" t="str">
            <v>Member</v>
          </cell>
          <cell r="H80" t="str">
            <v>멤버</v>
          </cell>
          <cell r="I80">
            <v>45131</v>
          </cell>
          <cell r="J80">
            <v>45131</v>
          </cell>
          <cell r="K80" t="str">
            <v>정규직</v>
          </cell>
          <cell r="L80" t="str">
            <v>연구직</v>
          </cell>
          <cell r="M80" t="str">
            <v>재직</v>
          </cell>
          <cell r="N80" t="str">
            <v>970405-2822919</v>
          </cell>
          <cell r="O80">
            <v>35525</v>
          </cell>
          <cell r="P80" t="str">
            <v>여</v>
          </cell>
          <cell r="Q80">
            <v>29</v>
          </cell>
          <cell r="R80">
            <v>27</v>
          </cell>
          <cell r="S80" t="str">
            <v>010-5597-0405</v>
          </cell>
          <cell r="T80" t="str">
            <v xml:space="preserve">서울특별시 중랑구 공릉로2길 8-4, 710호 </v>
          </cell>
          <cell r="U80" t="str">
            <v>hajin@neurophet.com</v>
          </cell>
        </row>
        <row r="81">
          <cell r="A81">
            <v>78</v>
          </cell>
          <cell r="B81">
            <v>23072601</v>
          </cell>
          <cell r="C81" t="str">
            <v>이승주</v>
          </cell>
          <cell r="D81" t="str">
            <v>비즈니스본부</v>
          </cell>
          <cell r="E81" t="str">
            <v>마케팅팀</v>
          </cell>
          <cell r="F81" t="str">
            <v>과제</v>
          </cell>
          <cell r="G81" t="str">
            <v>Member</v>
          </cell>
          <cell r="H81" t="str">
            <v>멤버</v>
          </cell>
          <cell r="I81">
            <v>45133</v>
          </cell>
          <cell r="J81">
            <v>45133</v>
          </cell>
          <cell r="K81" t="str">
            <v>정규직</v>
          </cell>
          <cell r="L81" t="str">
            <v>사무직</v>
          </cell>
          <cell r="M81" t="str">
            <v>재직</v>
          </cell>
          <cell r="N81" t="str">
            <v>950331-1057410</v>
          </cell>
          <cell r="O81">
            <v>34789</v>
          </cell>
          <cell r="P81" t="str">
            <v>남</v>
          </cell>
          <cell r="Q81">
            <v>31</v>
          </cell>
          <cell r="R81">
            <v>30</v>
          </cell>
          <cell r="S81" t="str">
            <v>010-8279-6633</v>
          </cell>
          <cell r="T81" t="str">
            <v>경기도 안양시 만안구 경수대로 1193 116동 7001호</v>
          </cell>
          <cell r="U81" t="str">
            <v>sjsj0331@neurophet.com</v>
          </cell>
        </row>
        <row r="82">
          <cell r="A82">
            <v>79</v>
          </cell>
          <cell r="B82">
            <v>23082301</v>
          </cell>
          <cell r="C82" t="str">
            <v>박인영</v>
          </cell>
          <cell r="D82" t="str">
            <v>연구본부</v>
          </cell>
          <cell r="E82" t="str">
            <v>연구기획팀</v>
          </cell>
          <cell r="F82" t="str">
            <v>과제</v>
          </cell>
          <cell r="G82" t="str">
            <v>Member</v>
          </cell>
          <cell r="H82" t="str">
            <v>멤버</v>
          </cell>
          <cell r="I82">
            <v>45161</v>
          </cell>
          <cell r="J82">
            <v>45161</v>
          </cell>
          <cell r="K82" t="str">
            <v>정규직</v>
          </cell>
          <cell r="L82" t="str">
            <v>연구직</v>
          </cell>
          <cell r="M82" t="str">
            <v>재직</v>
          </cell>
          <cell r="N82" t="str">
            <v>960104-2830120</v>
          </cell>
          <cell r="O82">
            <v>35068</v>
          </cell>
          <cell r="P82" t="str">
            <v>여</v>
          </cell>
          <cell r="Q82">
            <v>30</v>
          </cell>
          <cell r="R82">
            <v>29</v>
          </cell>
          <cell r="S82" t="str">
            <v>010-9228-3553</v>
          </cell>
          <cell r="T82" t="str">
            <v xml:space="preserve"> 서울특별시 강남구 강남대로84길 15 1413호</v>
          </cell>
          <cell r="U82" t="str">
            <v>iypark@neurophet.com</v>
          </cell>
        </row>
        <row r="83">
          <cell r="A83">
            <v>80</v>
          </cell>
          <cell r="B83">
            <v>23082801</v>
          </cell>
          <cell r="C83" t="str">
            <v>이혜신</v>
          </cell>
          <cell r="D83" t="str">
            <v>비즈니스본부</v>
          </cell>
          <cell r="E83" t="str">
            <v>사업개발팀</v>
          </cell>
          <cell r="F83" t="str">
            <v>BD</v>
          </cell>
          <cell r="G83" t="str">
            <v>Member</v>
          </cell>
          <cell r="H83" t="str">
            <v>멤버</v>
          </cell>
          <cell r="I83">
            <v>45166</v>
          </cell>
          <cell r="J83">
            <v>45166</v>
          </cell>
          <cell r="K83" t="str">
            <v>정규직</v>
          </cell>
          <cell r="L83" t="str">
            <v>사무직</v>
          </cell>
          <cell r="M83" t="str">
            <v>재직</v>
          </cell>
          <cell r="N83" t="str">
            <v>910816-2041221</v>
          </cell>
          <cell r="O83">
            <v>33466</v>
          </cell>
          <cell r="P83" t="str">
            <v>여</v>
          </cell>
          <cell r="Q83">
            <v>35</v>
          </cell>
          <cell r="R83">
            <v>33</v>
          </cell>
          <cell r="S83" t="str">
            <v>010-5939-5223</v>
          </cell>
          <cell r="T83" t="str">
            <v>서울특별시 노원구 공릉로46길 32 삼익아파트 102동 1203호</v>
          </cell>
          <cell r="U83" t="str">
            <v>hyesin.lee@neurophet.com</v>
          </cell>
        </row>
        <row r="84">
          <cell r="A84">
            <v>81</v>
          </cell>
          <cell r="B84">
            <v>23110801</v>
          </cell>
          <cell r="C84" t="str">
            <v>박민정</v>
          </cell>
          <cell r="D84" t="str">
            <v>연구본부</v>
          </cell>
          <cell r="E84" t="str">
            <v>의학팀</v>
          </cell>
          <cell r="F84" t="str">
            <v>-</v>
          </cell>
          <cell r="G84" t="str">
            <v>Member</v>
          </cell>
          <cell r="H84" t="str">
            <v>멤버</v>
          </cell>
          <cell r="I84">
            <v>45238</v>
          </cell>
          <cell r="J84">
            <v>45238</v>
          </cell>
          <cell r="K84" t="str">
            <v>정규직</v>
          </cell>
          <cell r="L84" t="str">
            <v>사무직</v>
          </cell>
          <cell r="M84" t="str">
            <v>재직</v>
          </cell>
          <cell r="N84" t="str">
            <v>890404-2403921</v>
          </cell>
          <cell r="O84">
            <v>32602</v>
          </cell>
          <cell r="P84" t="str">
            <v>여</v>
          </cell>
          <cell r="Q84">
            <v>37</v>
          </cell>
          <cell r="R84">
            <v>36</v>
          </cell>
          <cell r="S84" t="str">
            <v>010-2488-1088</v>
          </cell>
          <cell r="T84" t="str">
            <v>서울특별시 성동구 행당로82 행당한진타운아파트 115동 1704호</v>
          </cell>
          <cell r="U84" t="str">
            <v>emjay@neurophet.com</v>
          </cell>
        </row>
        <row r="85">
          <cell r="A85">
            <v>82</v>
          </cell>
          <cell r="B85">
            <v>23110901</v>
          </cell>
          <cell r="C85" t="str">
            <v>안소라</v>
          </cell>
          <cell r="D85" t="str">
            <v>연구본부</v>
          </cell>
          <cell r="E85" t="str">
            <v>연구기획팀</v>
          </cell>
          <cell r="F85" t="str">
            <v>과제</v>
          </cell>
          <cell r="G85" t="str">
            <v>Member</v>
          </cell>
          <cell r="H85" t="str">
            <v>멤버</v>
          </cell>
          <cell r="I85">
            <v>45239</v>
          </cell>
          <cell r="J85">
            <v>45239</v>
          </cell>
          <cell r="K85" t="str">
            <v>정규직</v>
          </cell>
          <cell r="L85" t="str">
            <v>연구직</v>
          </cell>
          <cell r="M85" t="str">
            <v>재직</v>
          </cell>
          <cell r="N85" t="str">
            <v>910909-2011319</v>
          </cell>
          <cell r="O85">
            <v>33490</v>
          </cell>
          <cell r="P85" t="str">
            <v>여</v>
          </cell>
          <cell r="Q85">
            <v>35</v>
          </cell>
          <cell r="R85">
            <v>33</v>
          </cell>
          <cell r="S85" t="str">
            <v>010-7605-4991</v>
          </cell>
          <cell r="T85" t="str">
            <v>강원특별자치도 춘천시 우석로101번길 83, 석사3지구부영아파트 105동 1008호</v>
          </cell>
          <cell r="U85" t="str">
            <v>sora09@neurophet.com</v>
          </cell>
        </row>
        <row r="86">
          <cell r="A86">
            <v>83</v>
          </cell>
          <cell r="B86">
            <v>23112001</v>
          </cell>
          <cell r="C86" t="str">
            <v>이겨레</v>
          </cell>
          <cell r="D86" t="str">
            <v>연구본부</v>
          </cell>
          <cell r="E86" t="str">
            <v>AIOps팀</v>
          </cell>
          <cell r="F86" t="str">
            <v>MLOps</v>
          </cell>
          <cell r="G86" t="str">
            <v>Lead</v>
          </cell>
          <cell r="H86" t="str">
            <v>팀리드</v>
          </cell>
          <cell r="I86">
            <v>45250</v>
          </cell>
          <cell r="J86">
            <v>45250</v>
          </cell>
          <cell r="K86" t="str">
            <v>정규직</v>
          </cell>
          <cell r="L86" t="str">
            <v>연구직</v>
          </cell>
          <cell r="M86" t="str">
            <v>재직</v>
          </cell>
          <cell r="N86" t="str">
            <v>921021-1071310</v>
          </cell>
          <cell r="O86">
            <v>33898</v>
          </cell>
          <cell r="P86" t="str">
            <v>남</v>
          </cell>
          <cell r="Q86">
            <v>34</v>
          </cell>
          <cell r="R86">
            <v>32</v>
          </cell>
          <cell r="S86" t="str">
            <v>010-7628-1355</v>
          </cell>
          <cell r="T86" t="str">
            <v>경기도 성남시 분당구 분당동 120-7 202호</v>
          </cell>
          <cell r="U86" t="str">
            <v>kyeoryelee@neurophet.com</v>
          </cell>
        </row>
        <row r="87">
          <cell r="A87">
            <v>84</v>
          </cell>
          <cell r="B87">
            <v>23112702</v>
          </cell>
          <cell r="C87" t="str">
            <v>이지은B</v>
          </cell>
          <cell r="D87" t="str">
            <v>프로덕트본부</v>
          </cell>
          <cell r="E87" t="str">
            <v>AD팀</v>
          </cell>
          <cell r="F87" t="str">
            <v>Frontend</v>
          </cell>
          <cell r="G87" t="str">
            <v>Member</v>
          </cell>
          <cell r="H87" t="str">
            <v>멤버</v>
          </cell>
          <cell r="I87">
            <v>45257</v>
          </cell>
          <cell r="J87">
            <v>45257</v>
          </cell>
          <cell r="K87" t="str">
            <v>정규직</v>
          </cell>
          <cell r="L87" t="str">
            <v>연구직</v>
          </cell>
          <cell r="M87" t="str">
            <v>재직</v>
          </cell>
          <cell r="N87" t="str">
            <v>880414-2047714</v>
          </cell>
          <cell r="O87">
            <v>32247</v>
          </cell>
          <cell r="P87" t="str">
            <v>여</v>
          </cell>
          <cell r="Q87">
            <v>38</v>
          </cell>
          <cell r="R87">
            <v>36</v>
          </cell>
          <cell r="S87" t="str">
            <v>010-5299-7260</v>
          </cell>
          <cell r="T87" t="str">
            <v>경기도 용인시 수지구 풍덕천로 91, 109동 1003호</v>
          </cell>
          <cell r="U87" t="str">
            <v>jieunlee@neurophet.com</v>
          </cell>
        </row>
        <row r="88">
          <cell r="A88">
            <v>85</v>
          </cell>
          <cell r="B88">
            <v>23120402</v>
          </cell>
          <cell r="C88" t="str">
            <v>허웅</v>
          </cell>
          <cell r="D88" t="str">
            <v>프로덕트본부</v>
          </cell>
          <cell r="E88" t="str">
            <v>PM팀</v>
          </cell>
          <cell r="F88" t="str">
            <v>PM</v>
          </cell>
          <cell r="G88" t="str">
            <v>Member</v>
          </cell>
          <cell r="H88" t="str">
            <v>멤버</v>
          </cell>
          <cell r="I88">
            <v>45264</v>
          </cell>
          <cell r="J88">
            <v>45264</v>
          </cell>
          <cell r="K88" t="str">
            <v>정규직</v>
          </cell>
          <cell r="L88" t="str">
            <v>연구직</v>
          </cell>
          <cell r="M88" t="str">
            <v>재직</v>
          </cell>
          <cell r="N88" t="str">
            <v>780507-1237518</v>
          </cell>
          <cell r="O88">
            <v>28617</v>
          </cell>
          <cell r="P88" t="str">
            <v>남</v>
          </cell>
          <cell r="Q88">
            <v>48</v>
          </cell>
          <cell r="R88">
            <v>46</v>
          </cell>
          <cell r="S88" t="str">
            <v>010-8929-2425</v>
          </cell>
          <cell r="T88" t="str">
            <v xml:space="preserve">서울특별시 서초구 서초대로 29길 23-1 401호 </v>
          </cell>
          <cell r="U88" t="str">
            <v>woong@neurophet.com</v>
          </cell>
        </row>
        <row r="89">
          <cell r="A89">
            <v>86</v>
          </cell>
          <cell r="B89">
            <v>23121801</v>
          </cell>
          <cell r="C89" t="str">
            <v>강현숙</v>
          </cell>
          <cell r="D89" t="str">
            <v>프로덕트본부</v>
          </cell>
          <cell r="E89" t="str">
            <v>Vascular팀</v>
          </cell>
          <cell r="F89" t="str">
            <v>Backend</v>
          </cell>
          <cell r="G89" t="str">
            <v>Member</v>
          </cell>
          <cell r="H89" t="str">
            <v>멤버</v>
          </cell>
          <cell r="I89">
            <v>45278</v>
          </cell>
          <cell r="J89">
            <v>45278</v>
          </cell>
          <cell r="K89" t="str">
            <v>정규직</v>
          </cell>
          <cell r="L89" t="str">
            <v>연구직</v>
          </cell>
          <cell r="M89" t="str">
            <v>재직</v>
          </cell>
          <cell r="N89" t="str">
            <v>871001-2470611</v>
          </cell>
          <cell r="O89">
            <v>32051</v>
          </cell>
          <cell r="P89" t="str">
            <v>여</v>
          </cell>
          <cell r="Q89">
            <v>39</v>
          </cell>
          <cell r="R89">
            <v>37</v>
          </cell>
          <cell r="S89" t="str">
            <v>010-7364-3721</v>
          </cell>
          <cell r="T89" t="str">
            <v>경기도 용인시 수지구 수지로 166 107동 1301호</v>
          </cell>
          <cell r="U89" t="str">
            <v>hyunsookkang@neurophet.com</v>
          </cell>
        </row>
        <row r="90">
          <cell r="A90">
            <v>87</v>
          </cell>
          <cell r="B90">
            <v>23121901</v>
          </cell>
          <cell r="C90" t="str">
            <v>강지성</v>
          </cell>
          <cell r="D90" t="str">
            <v>프로덕트본부</v>
          </cell>
          <cell r="E90" t="str">
            <v>AD팀</v>
          </cell>
          <cell r="F90" t="str">
            <v>Backend</v>
          </cell>
          <cell r="G90" t="str">
            <v>Member</v>
          </cell>
          <cell r="H90" t="str">
            <v>멤버</v>
          </cell>
          <cell r="I90">
            <v>45279</v>
          </cell>
          <cell r="J90">
            <v>45279</v>
          </cell>
          <cell r="K90" t="str">
            <v>정규직</v>
          </cell>
          <cell r="L90" t="str">
            <v>연구직</v>
          </cell>
          <cell r="M90" t="str">
            <v>재직</v>
          </cell>
          <cell r="N90" t="str">
            <v>950207-2199030</v>
          </cell>
          <cell r="O90">
            <v>34737</v>
          </cell>
          <cell r="P90" t="str">
            <v>여</v>
          </cell>
          <cell r="Q90">
            <v>31</v>
          </cell>
          <cell r="R90">
            <v>30</v>
          </cell>
          <cell r="S90" t="str">
            <v>010-2221-4632</v>
          </cell>
          <cell r="T90" t="str">
            <v>경기도 시흥시 정왕대로117번길 9, 208-404</v>
          </cell>
          <cell r="U90" t="str">
            <v>jisung.kang@neurophet.com</v>
          </cell>
        </row>
        <row r="91">
          <cell r="A91">
            <v>88</v>
          </cell>
          <cell r="B91">
            <v>23122601</v>
          </cell>
          <cell r="C91" t="str">
            <v>권제세</v>
          </cell>
          <cell r="D91" t="str">
            <v>비즈니스본부</v>
          </cell>
          <cell r="E91" t="str">
            <v>국내세일즈팀</v>
          </cell>
          <cell r="F91" t="str">
            <v>영업</v>
          </cell>
          <cell r="G91" t="str">
            <v>Lead</v>
          </cell>
          <cell r="H91" t="str">
            <v>팀리드</v>
          </cell>
          <cell r="I91">
            <v>45286</v>
          </cell>
          <cell r="J91">
            <v>45286</v>
          </cell>
          <cell r="K91" t="str">
            <v>정규직</v>
          </cell>
          <cell r="L91" t="str">
            <v>사무직</v>
          </cell>
          <cell r="M91" t="str">
            <v>재직</v>
          </cell>
          <cell r="N91" t="str">
            <v>810320-1070313</v>
          </cell>
          <cell r="O91">
            <v>29665</v>
          </cell>
          <cell r="P91" t="str">
            <v>남</v>
          </cell>
          <cell r="Q91">
            <v>45</v>
          </cell>
          <cell r="R91">
            <v>44</v>
          </cell>
          <cell r="S91" t="str">
            <v>010-9878-2002</v>
          </cell>
          <cell r="T91" t="str">
            <v>서울특별시 강동구 성안로155 두산위브센티움 101동 1006호</v>
          </cell>
          <cell r="U91" t="str">
            <v>jskwon@neurophet.com</v>
          </cell>
        </row>
        <row r="92">
          <cell r="A92">
            <v>89</v>
          </cell>
          <cell r="B92">
            <v>24010201</v>
          </cell>
          <cell r="C92" t="str">
            <v>정진우</v>
          </cell>
          <cell r="D92" t="str">
            <v>대표이사</v>
          </cell>
          <cell r="E92" t="str">
            <v>RA팀</v>
          </cell>
          <cell r="F92" t="str">
            <v>인허가</v>
          </cell>
          <cell r="G92" t="str">
            <v>Member</v>
          </cell>
          <cell r="H92" t="str">
            <v>멤버</v>
          </cell>
          <cell r="I92">
            <v>45293</v>
          </cell>
          <cell r="J92">
            <v>45293</v>
          </cell>
          <cell r="K92" t="str">
            <v>정규직</v>
          </cell>
          <cell r="L92" t="str">
            <v>사무직</v>
          </cell>
          <cell r="M92" t="str">
            <v>재직</v>
          </cell>
          <cell r="N92" t="str">
            <v>940608-1585217</v>
          </cell>
          <cell r="O92">
            <v>34493</v>
          </cell>
          <cell r="P92" t="str">
            <v>남</v>
          </cell>
          <cell r="Q92">
            <v>32</v>
          </cell>
          <cell r="R92">
            <v>30</v>
          </cell>
          <cell r="S92" t="str">
            <v>010-3614-9923</v>
          </cell>
          <cell r="T92" t="str">
            <v>경기도 수원시 팔달구 인계로 94번길 27-18, 412호</v>
          </cell>
          <cell r="U92" t="str">
            <v>jwjeong@neurophet.com</v>
          </cell>
        </row>
        <row r="93">
          <cell r="A93">
            <v>90</v>
          </cell>
          <cell r="B93">
            <v>24010202</v>
          </cell>
          <cell r="C93" t="str">
            <v>박근호</v>
          </cell>
          <cell r="D93" t="str">
            <v>비즈니스본부</v>
          </cell>
          <cell r="E93" t="str">
            <v>국내세일즈팀</v>
          </cell>
          <cell r="F93" t="str">
            <v>영업</v>
          </cell>
          <cell r="G93" t="str">
            <v>Member</v>
          </cell>
          <cell r="H93" t="str">
            <v>멤버</v>
          </cell>
          <cell r="I93">
            <v>45293</v>
          </cell>
          <cell r="J93">
            <v>45293</v>
          </cell>
          <cell r="K93" t="str">
            <v>정규직</v>
          </cell>
          <cell r="L93" t="str">
            <v>사무직</v>
          </cell>
          <cell r="M93" t="str">
            <v>재직</v>
          </cell>
          <cell r="N93" t="str">
            <v>920506-1209314</v>
          </cell>
          <cell r="O93">
            <v>33730</v>
          </cell>
          <cell r="P93" t="str">
            <v>남</v>
          </cell>
          <cell r="Q93">
            <v>34</v>
          </cell>
          <cell r="R93">
            <v>32</v>
          </cell>
          <cell r="S93" t="str">
            <v>010-4021-0963</v>
          </cell>
          <cell r="T93" t="str">
            <v>경기도 하남시 감이동 503 제일풍경채 105-1204호</v>
          </cell>
          <cell r="U93" t="str">
            <v>keunho.park@neurophet.com</v>
          </cell>
        </row>
        <row r="94">
          <cell r="A94">
            <v>91</v>
          </cell>
          <cell r="B94">
            <v>24010901</v>
          </cell>
          <cell r="C94" t="str">
            <v>황준동</v>
          </cell>
          <cell r="D94" t="str">
            <v>연구본부</v>
          </cell>
          <cell r="E94" t="str">
            <v>NR1팀</v>
          </cell>
          <cell r="F94" t="str">
            <v>뇌영상연구</v>
          </cell>
          <cell r="G94" t="str">
            <v>Member</v>
          </cell>
          <cell r="H94" t="str">
            <v>멤버</v>
          </cell>
          <cell r="I94">
            <v>45300</v>
          </cell>
          <cell r="J94">
            <v>45300</v>
          </cell>
          <cell r="K94" t="str">
            <v>정규직</v>
          </cell>
          <cell r="L94" t="str">
            <v>연구직</v>
          </cell>
          <cell r="M94" t="str">
            <v>재직</v>
          </cell>
          <cell r="N94" t="str">
            <v>940914-1029513</v>
          </cell>
          <cell r="O94">
            <v>34591</v>
          </cell>
          <cell r="P94" t="str">
            <v>남</v>
          </cell>
          <cell r="Q94">
            <v>32</v>
          </cell>
          <cell r="R94">
            <v>30</v>
          </cell>
          <cell r="S94" t="str">
            <v>010-8221-8991</v>
          </cell>
          <cell r="T94" t="str">
            <v>서울특별시 강북구 미아동 211-33 301호</v>
          </cell>
          <cell r="U94" t="str">
            <v>jd.hwang@neurophet.com</v>
          </cell>
        </row>
        <row r="95">
          <cell r="A95">
            <v>92</v>
          </cell>
          <cell r="B95">
            <v>24011501</v>
          </cell>
          <cell r="C95" t="str">
            <v>문시현</v>
          </cell>
          <cell r="D95" t="str">
            <v>경영본부</v>
          </cell>
          <cell r="E95" t="str">
            <v>자금팀</v>
          </cell>
          <cell r="F95" t="str">
            <v>자금</v>
          </cell>
          <cell r="G95" t="str">
            <v>Member</v>
          </cell>
          <cell r="H95" t="str">
            <v>멤버</v>
          </cell>
          <cell r="I95">
            <v>45306</v>
          </cell>
          <cell r="J95">
            <v>45306</v>
          </cell>
          <cell r="K95" t="str">
            <v>정규직</v>
          </cell>
          <cell r="L95" t="str">
            <v>사무직</v>
          </cell>
          <cell r="M95" t="str">
            <v>재직</v>
          </cell>
          <cell r="N95" t="str">
            <v>980810-2059322</v>
          </cell>
          <cell r="O95">
            <v>36017</v>
          </cell>
          <cell r="P95" t="str">
            <v>여</v>
          </cell>
          <cell r="Q95">
            <v>28</v>
          </cell>
          <cell r="R95">
            <v>26</v>
          </cell>
          <cell r="S95" t="str">
            <v>010-3763-5717</v>
          </cell>
          <cell r="T95" t="str">
            <v>서울특별시 금천구 금하로24나길 27-26, 202호</v>
          </cell>
          <cell r="U95" t="str">
            <v>mshyun@neurophet.com</v>
          </cell>
        </row>
        <row r="96">
          <cell r="A96">
            <v>93</v>
          </cell>
          <cell r="B96">
            <v>24011502</v>
          </cell>
          <cell r="C96" t="str">
            <v>박창선</v>
          </cell>
          <cell r="D96" t="str">
            <v>연구본부</v>
          </cell>
          <cell r="E96" t="str">
            <v>AR2팀</v>
          </cell>
          <cell r="F96" t="str">
            <v>AI연구</v>
          </cell>
          <cell r="G96" t="str">
            <v>Member</v>
          </cell>
          <cell r="H96" t="str">
            <v>멤버</v>
          </cell>
          <cell r="I96">
            <v>45306</v>
          </cell>
          <cell r="J96">
            <v>45306</v>
          </cell>
          <cell r="K96" t="str">
            <v>정규직</v>
          </cell>
          <cell r="L96" t="str">
            <v>연구직</v>
          </cell>
          <cell r="M96" t="str">
            <v>재직</v>
          </cell>
          <cell r="N96" t="str">
            <v>990609-1721345</v>
          </cell>
          <cell r="O96">
            <v>36320</v>
          </cell>
          <cell r="P96" t="str">
            <v>남</v>
          </cell>
          <cell r="Q96">
            <v>27</v>
          </cell>
          <cell r="R96">
            <v>25</v>
          </cell>
          <cell r="S96" t="str">
            <v>010-2655-4692</v>
          </cell>
          <cell r="T96" t="str">
            <v>서울특별시 관악구 봉천동 877-29 파크빌오피스텔 304호</v>
          </cell>
          <cell r="U96" t="str">
            <v>changseon@neurophet.com</v>
          </cell>
        </row>
        <row r="97">
          <cell r="A97">
            <v>94</v>
          </cell>
          <cell r="B97">
            <v>24011503</v>
          </cell>
          <cell r="C97" t="str">
            <v>서충원</v>
          </cell>
          <cell r="D97" t="str">
            <v>비즈니스본부</v>
          </cell>
          <cell r="E97" t="str">
            <v>마케팅팀</v>
          </cell>
          <cell r="F97" t="str">
            <v>마케팅</v>
          </cell>
          <cell r="G97" t="str">
            <v>Member</v>
          </cell>
          <cell r="H97" t="str">
            <v>멤버</v>
          </cell>
          <cell r="I97">
            <v>45306</v>
          </cell>
          <cell r="J97">
            <v>45306</v>
          </cell>
          <cell r="K97" t="str">
            <v>정규직</v>
          </cell>
          <cell r="L97" t="str">
            <v>사무직</v>
          </cell>
          <cell r="M97" t="str">
            <v>재직</v>
          </cell>
          <cell r="N97" t="str">
            <v>000127-3192238</v>
          </cell>
          <cell r="O97">
            <v>36552</v>
          </cell>
          <cell r="P97" t="str">
            <v>남</v>
          </cell>
          <cell r="Q97">
            <v>26</v>
          </cell>
          <cell r="R97">
            <v>25</v>
          </cell>
          <cell r="S97" t="str">
            <v>010-2879-0237</v>
          </cell>
          <cell r="T97" t="str">
            <v>경기도 남양주시 진접읍 해밀예당 1로 2302동 1401호</v>
          </cell>
          <cell r="U97" t="str">
            <v>cwseo@neurophet.com</v>
          </cell>
        </row>
        <row r="98">
          <cell r="A98">
            <v>95</v>
          </cell>
          <cell r="B98">
            <v>24020101</v>
          </cell>
          <cell r="C98" t="str">
            <v>김진석</v>
          </cell>
          <cell r="D98" t="str">
            <v>프로덕트본부</v>
          </cell>
          <cell r="E98" t="str">
            <v>PM팀</v>
          </cell>
          <cell r="F98" t="str">
            <v>PM</v>
          </cell>
          <cell r="G98" t="str">
            <v>Member</v>
          </cell>
          <cell r="H98" t="str">
            <v>멤버</v>
          </cell>
          <cell r="I98">
            <v>45323</v>
          </cell>
          <cell r="J98">
            <v>45323</v>
          </cell>
          <cell r="K98" t="str">
            <v>정규직</v>
          </cell>
          <cell r="L98" t="str">
            <v>연구직</v>
          </cell>
          <cell r="M98" t="str">
            <v>재직</v>
          </cell>
          <cell r="N98" t="str">
            <v>801030-1113817</v>
          </cell>
          <cell r="O98">
            <v>29524</v>
          </cell>
          <cell r="P98" t="str">
            <v>남</v>
          </cell>
          <cell r="Q98">
            <v>46</v>
          </cell>
          <cell r="R98">
            <v>44</v>
          </cell>
          <cell r="S98" t="str">
            <v>010-8000-1542</v>
          </cell>
          <cell r="T98" t="str">
            <v>서울특별시 강동구 고덕로 97길 29, 911동 202호</v>
          </cell>
          <cell r="U98" t="str">
            <v>nick.kim@neurophet.com</v>
          </cell>
        </row>
        <row r="99">
          <cell r="A99">
            <v>96</v>
          </cell>
          <cell r="B99">
            <v>24020102</v>
          </cell>
          <cell r="C99" t="str">
            <v>송영지</v>
          </cell>
          <cell r="D99" t="str">
            <v>연구본부</v>
          </cell>
          <cell r="E99" t="str">
            <v>임상팀</v>
          </cell>
          <cell r="F99" t="str">
            <v>임상시험연구</v>
          </cell>
          <cell r="G99" t="str">
            <v>Member</v>
          </cell>
          <cell r="H99" t="str">
            <v>멤버</v>
          </cell>
          <cell r="I99">
            <v>45323</v>
          </cell>
          <cell r="J99">
            <v>45323</v>
          </cell>
          <cell r="K99" t="str">
            <v>정규직</v>
          </cell>
          <cell r="L99" t="str">
            <v>연구직</v>
          </cell>
          <cell r="M99" t="str">
            <v>재직</v>
          </cell>
          <cell r="N99" t="str">
            <v>880428-2233517</v>
          </cell>
          <cell r="O99">
            <v>32261</v>
          </cell>
          <cell r="P99" t="str">
            <v>여</v>
          </cell>
          <cell r="Q99">
            <v>38</v>
          </cell>
          <cell r="R99">
            <v>36</v>
          </cell>
          <cell r="S99" t="str">
            <v>010-4136-6596</v>
          </cell>
          <cell r="T99" t="str">
            <v>서울특별시 양천구 목동중앙남로 16가길 28-10 201호</v>
          </cell>
          <cell r="U99" t="str">
            <v>youngji.song@neurophet.com</v>
          </cell>
        </row>
        <row r="100">
          <cell r="A100">
            <v>97</v>
          </cell>
          <cell r="B100">
            <v>24020501</v>
          </cell>
          <cell r="C100" t="str">
            <v>김현기</v>
          </cell>
          <cell r="D100" t="str">
            <v>비즈니스본부</v>
          </cell>
          <cell r="E100" t="str">
            <v>국내세일즈팀</v>
          </cell>
          <cell r="F100" t="str">
            <v>영업</v>
          </cell>
          <cell r="G100" t="str">
            <v>Member</v>
          </cell>
          <cell r="H100" t="str">
            <v>멤버</v>
          </cell>
          <cell r="I100">
            <v>45327</v>
          </cell>
          <cell r="J100">
            <v>45327</v>
          </cell>
          <cell r="K100" t="str">
            <v>정규직</v>
          </cell>
          <cell r="L100" t="str">
            <v>사무직</v>
          </cell>
          <cell r="M100" t="str">
            <v>재직</v>
          </cell>
          <cell r="N100" t="str">
            <v>850117-1047212</v>
          </cell>
          <cell r="O100">
            <v>31064</v>
          </cell>
          <cell r="P100" t="str">
            <v>남</v>
          </cell>
          <cell r="Q100">
            <v>41</v>
          </cell>
          <cell r="R100">
            <v>40</v>
          </cell>
          <cell r="S100" t="str">
            <v>010-7152-4011</v>
          </cell>
          <cell r="T100" t="str">
            <v>서울특별시 노원구 동일로 227길 86 주공아파트 1611-804</v>
          </cell>
          <cell r="U100" t="str">
            <v>khk2276@neurophet.com</v>
          </cell>
        </row>
        <row r="101">
          <cell r="A101">
            <v>98</v>
          </cell>
          <cell r="B101">
            <v>24021301</v>
          </cell>
          <cell r="C101" t="str">
            <v>임현석</v>
          </cell>
          <cell r="D101" t="str">
            <v>연구본부</v>
          </cell>
          <cell r="E101" t="str">
            <v>TechOps팀</v>
          </cell>
          <cell r="F101" t="str">
            <v>레이블링</v>
          </cell>
          <cell r="G101" t="str">
            <v>Member</v>
          </cell>
          <cell r="H101" t="str">
            <v>멤버</v>
          </cell>
          <cell r="I101">
            <v>45335</v>
          </cell>
          <cell r="J101">
            <v>45335</v>
          </cell>
          <cell r="K101" t="str">
            <v>정규직</v>
          </cell>
          <cell r="L101" t="str">
            <v>연구직</v>
          </cell>
          <cell r="M101" t="str">
            <v>재직</v>
          </cell>
          <cell r="N101" t="str">
            <v>961005-1026011</v>
          </cell>
          <cell r="O101">
            <v>35343</v>
          </cell>
          <cell r="P101" t="str">
            <v>남</v>
          </cell>
          <cell r="Q101">
            <v>30</v>
          </cell>
          <cell r="R101">
            <v>28</v>
          </cell>
          <cell r="S101" t="str">
            <v>010-9947-2286</v>
          </cell>
          <cell r="T101" t="str">
            <v>서울특별시 강북구 솔샘로 174, SK북한산시티 145동 203호</v>
          </cell>
          <cell r="U101" t="str">
            <v>hslim@neurophet.com</v>
          </cell>
        </row>
        <row r="102">
          <cell r="A102">
            <v>99</v>
          </cell>
          <cell r="B102">
            <v>24021302</v>
          </cell>
          <cell r="C102" t="str">
            <v>하지수</v>
          </cell>
          <cell r="D102" t="str">
            <v>대표이사</v>
          </cell>
          <cell r="E102" t="str">
            <v>인사팀</v>
          </cell>
          <cell r="F102" t="str">
            <v>인사</v>
          </cell>
          <cell r="G102" t="str">
            <v>Member</v>
          </cell>
          <cell r="H102" t="str">
            <v>멤버</v>
          </cell>
          <cell r="I102">
            <v>45335</v>
          </cell>
          <cell r="J102">
            <v>45335</v>
          </cell>
          <cell r="K102" t="str">
            <v>정규직</v>
          </cell>
          <cell r="L102" t="str">
            <v>사무직</v>
          </cell>
          <cell r="M102" t="str">
            <v>재직</v>
          </cell>
          <cell r="N102" t="str">
            <v>930809-2032311</v>
          </cell>
          <cell r="O102">
            <v>34190</v>
          </cell>
          <cell r="P102" t="str">
            <v>여</v>
          </cell>
          <cell r="Q102">
            <v>33</v>
          </cell>
          <cell r="R102">
            <v>31</v>
          </cell>
          <cell r="S102" t="str">
            <v>010-8752-6570</v>
          </cell>
          <cell r="T102" t="str">
            <v>경기도 하남시 미사강변대로 270, 703동 902호</v>
          </cell>
          <cell r="U102" t="str">
            <v>jsha@neurophet.com</v>
          </cell>
        </row>
        <row r="103">
          <cell r="A103">
            <v>100</v>
          </cell>
          <cell r="B103">
            <v>24022001</v>
          </cell>
          <cell r="C103" t="str">
            <v>홍락균</v>
          </cell>
          <cell r="D103" t="str">
            <v>프로덕트본부</v>
          </cell>
          <cell r="E103" t="str">
            <v>PM팀</v>
          </cell>
          <cell r="F103" t="str">
            <v>PM (innk 등)</v>
          </cell>
          <cell r="G103" t="str">
            <v>Member</v>
          </cell>
          <cell r="H103" t="str">
            <v>멤버</v>
          </cell>
          <cell r="I103">
            <v>45342</v>
          </cell>
          <cell r="J103">
            <v>45342</v>
          </cell>
          <cell r="K103" t="str">
            <v>정규직</v>
          </cell>
          <cell r="L103" t="str">
            <v>연구직</v>
          </cell>
          <cell r="M103" t="str">
            <v>재직</v>
          </cell>
          <cell r="N103" t="str">
            <v>880824-1260119</v>
          </cell>
          <cell r="O103">
            <v>32379</v>
          </cell>
          <cell r="P103" t="str">
            <v>남</v>
          </cell>
          <cell r="Q103">
            <v>38</v>
          </cell>
          <cell r="R103">
            <v>36</v>
          </cell>
          <cell r="S103" t="str">
            <v>010-7188-7095</v>
          </cell>
          <cell r="T103" t="str">
            <v>경기도 구리시 경춘로 288번길 39, 원일아파트 바동 309호</v>
          </cell>
          <cell r="U103" t="str">
            <v>rkhong@neurophet.com</v>
          </cell>
        </row>
        <row r="104">
          <cell r="A104">
            <v>101</v>
          </cell>
          <cell r="B104">
            <v>24022601</v>
          </cell>
          <cell r="C104" t="str">
            <v>김지만</v>
          </cell>
          <cell r="D104" t="str">
            <v>프로덕트본부</v>
          </cell>
          <cell r="E104" t="str">
            <v>UX팀</v>
          </cell>
          <cell r="F104" t="str">
            <v>기획</v>
          </cell>
          <cell r="G104" t="str">
            <v>Member</v>
          </cell>
          <cell r="H104" t="str">
            <v>멤버</v>
          </cell>
          <cell r="I104">
            <v>45348</v>
          </cell>
          <cell r="J104">
            <v>45348</v>
          </cell>
          <cell r="K104" t="str">
            <v>정규직</v>
          </cell>
          <cell r="L104" t="str">
            <v>연구직</v>
          </cell>
          <cell r="M104" t="str">
            <v>재직</v>
          </cell>
          <cell r="N104" t="str">
            <v>801126-1226122</v>
          </cell>
          <cell r="O104">
            <v>29551</v>
          </cell>
          <cell r="P104" t="str">
            <v>남</v>
          </cell>
          <cell r="Q104">
            <v>46</v>
          </cell>
          <cell r="R104">
            <v>44</v>
          </cell>
          <cell r="S104" t="str">
            <v>010-5583-2125</v>
          </cell>
          <cell r="T104" t="str">
            <v>경기도 남양주시 화도읍 녹촌로 87-29, 103동 203호</v>
          </cell>
          <cell r="U104" t="str">
            <v>kimjm@neurophet.com</v>
          </cell>
        </row>
        <row r="105">
          <cell r="A105">
            <v>102</v>
          </cell>
          <cell r="B105">
            <v>24030401</v>
          </cell>
          <cell r="C105" t="str">
            <v>김기연</v>
          </cell>
          <cell r="D105" t="str">
            <v>연구본부</v>
          </cell>
          <cell r="E105" t="str">
            <v>AR3팀</v>
          </cell>
          <cell r="F105" t="str">
            <v>AI연구</v>
          </cell>
          <cell r="G105" t="str">
            <v>Member</v>
          </cell>
          <cell r="H105" t="str">
            <v>멤버</v>
          </cell>
          <cell r="I105">
            <v>45355</v>
          </cell>
          <cell r="J105">
            <v>45355</v>
          </cell>
          <cell r="K105" t="str">
            <v>정규직</v>
          </cell>
          <cell r="L105" t="str">
            <v>연구직</v>
          </cell>
          <cell r="M105" t="str">
            <v>재직</v>
          </cell>
          <cell r="N105" t="str">
            <v>970921-1010521</v>
          </cell>
          <cell r="O105">
            <v>35694</v>
          </cell>
          <cell r="P105" t="str">
            <v>남</v>
          </cell>
          <cell r="Q105">
            <v>29</v>
          </cell>
          <cell r="R105">
            <v>27</v>
          </cell>
          <cell r="S105" t="str">
            <v>010-9134-8001</v>
          </cell>
          <cell r="T105" t="str">
            <v>강원도 춘천시 교동길 70-7 2층</v>
          </cell>
          <cell r="U105" t="str">
            <v>kgy@neurophet.com</v>
          </cell>
        </row>
        <row r="106">
          <cell r="A106">
            <v>103</v>
          </cell>
          <cell r="B106">
            <v>24031101</v>
          </cell>
          <cell r="C106" t="str">
            <v>박지은</v>
          </cell>
          <cell r="D106" t="str">
            <v>연구본부</v>
          </cell>
          <cell r="E106" t="str">
            <v>NR1팀</v>
          </cell>
          <cell r="F106" t="str">
            <v>뇌영상분석연구</v>
          </cell>
          <cell r="G106" t="str">
            <v>Member</v>
          </cell>
          <cell r="H106" t="str">
            <v>멤버</v>
          </cell>
          <cell r="I106">
            <v>45362</v>
          </cell>
          <cell r="J106">
            <v>45362</v>
          </cell>
          <cell r="K106" t="str">
            <v>정규직</v>
          </cell>
          <cell r="L106" t="str">
            <v>연구직</v>
          </cell>
          <cell r="M106" t="str">
            <v>재직</v>
          </cell>
          <cell r="N106" t="str">
            <v>981117-2680011</v>
          </cell>
          <cell r="O106">
            <v>36116</v>
          </cell>
          <cell r="P106" t="str">
            <v>여</v>
          </cell>
          <cell r="Q106">
            <v>28</v>
          </cell>
          <cell r="R106">
            <v>26</v>
          </cell>
          <cell r="S106" t="str">
            <v>010-5140-1593</v>
          </cell>
          <cell r="T106" t="str">
            <v>서울특별시 관악구 남부순환로 1961-1 601호</v>
          </cell>
          <cell r="U106" t="str">
            <v>jieunpark@neurophet.com</v>
          </cell>
        </row>
        <row r="107">
          <cell r="A107">
            <v>104</v>
          </cell>
          <cell r="B107">
            <v>24031901</v>
          </cell>
          <cell r="C107" t="str">
            <v>이광민</v>
          </cell>
          <cell r="D107" t="str">
            <v>경영본부</v>
          </cell>
          <cell r="E107" t="str">
            <v>경영본부</v>
          </cell>
          <cell r="F107" t="str">
            <v>CFO</v>
          </cell>
          <cell r="G107" t="str">
            <v>CFO</v>
          </cell>
          <cell r="H107" t="str">
            <v>C-LEVEL</v>
          </cell>
          <cell r="I107">
            <v>45370</v>
          </cell>
          <cell r="J107">
            <v>45370</v>
          </cell>
          <cell r="K107" t="str">
            <v>정규직</v>
          </cell>
          <cell r="L107" t="str">
            <v>임원</v>
          </cell>
          <cell r="M107" t="str">
            <v>재직</v>
          </cell>
          <cell r="N107" t="str">
            <v>780427-1785816</v>
          </cell>
          <cell r="O107">
            <v>28607</v>
          </cell>
          <cell r="P107" t="str">
            <v>남</v>
          </cell>
          <cell r="Q107">
            <v>48</v>
          </cell>
          <cell r="R107">
            <v>46</v>
          </cell>
          <cell r="S107" t="str">
            <v>010-3885-9619</v>
          </cell>
          <cell r="T107" t="str">
            <v>경기도 성남시 분당구 정자일로248 파크뷰 606동 601호</v>
          </cell>
          <cell r="U107" t="str">
            <v>lkm@neurophet.com</v>
          </cell>
        </row>
        <row r="108">
          <cell r="A108">
            <v>105</v>
          </cell>
          <cell r="B108">
            <v>24040101</v>
          </cell>
          <cell r="C108" t="str">
            <v>장주영</v>
          </cell>
          <cell r="D108" t="str">
            <v>비즈니스본부</v>
          </cell>
          <cell r="E108" t="str">
            <v>ICL팀</v>
          </cell>
          <cell r="F108" t="str">
            <v>임상PM</v>
          </cell>
          <cell r="G108" t="str">
            <v>Member</v>
          </cell>
          <cell r="H108" t="str">
            <v>멤버</v>
          </cell>
          <cell r="I108">
            <v>45383</v>
          </cell>
          <cell r="J108">
            <v>45383</v>
          </cell>
          <cell r="K108" t="str">
            <v>정규직</v>
          </cell>
          <cell r="L108" t="str">
            <v>사무직</v>
          </cell>
          <cell r="M108" t="str">
            <v>재직</v>
          </cell>
          <cell r="N108" t="str">
            <v>980720-2010617</v>
          </cell>
          <cell r="O108">
            <v>35996</v>
          </cell>
          <cell r="P108" t="str">
            <v>여</v>
          </cell>
          <cell r="Q108">
            <v>28</v>
          </cell>
          <cell r="R108">
            <v>26</v>
          </cell>
          <cell r="S108" t="str">
            <v>010-7120-0393</v>
          </cell>
          <cell r="T108" t="str">
            <v>경기도 남양주시 송산로 307번길 22 푸르지오 5201 동 1502호</v>
          </cell>
          <cell r="U108" t="str">
            <v>juyoung.jang@neurophet.com</v>
          </cell>
        </row>
        <row r="109">
          <cell r="A109">
            <v>106</v>
          </cell>
          <cell r="B109">
            <v>24040801</v>
          </cell>
          <cell r="C109" t="str">
            <v>인치수</v>
          </cell>
          <cell r="D109" t="str">
            <v>프로덕트본부</v>
          </cell>
          <cell r="E109" t="str">
            <v>Vascular팀</v>
          </cell>
          <cell r="F109" t="str">
            <v>프론트엔드</v>
          </cell>
          <cell r="G109" t="str">
            <v>Member</v>
          </cell>
          <cell r="H109" t="str">
            <v>멤버</v>
          </cell>
          <cell r="I109">
            <v>45390</v>
          </cell>
          <cell r="J109">
            <v>45390</v>
          </cell>
          <cell r="K109" t="str">
            <v>정규직</v>
          </cell>
          <cell r="L109" t="str">
            <v>연구직</v>
          </cell>
          <cell r="M109" t="str">
            <v>재직</v>
          </cell>
          <cell r="N109" t="str">
            <v>880530-1469314</v>
          </cell>
          <cell r="O109">
            <v>32293</v>
          </cell>
          <cell r="P109" t="str">
            <v>남</v>
          </cell>
          <cell r="Q109">
            <v>38</v>
          </cell>
          <cell r="R109">
            <v>36</v>
          </cell>
          <cell r="S109" t="str">
            <v>010-8440-0344</v>
          </cell>
          <cell r="T109" t="str">
            <v>서울특별시 동대문구 답십리로 68길 91 A동 501호</v>
          </cell>
          <cell r="U109" t="str">
            <v>cheesu@neurophet.com</v>
          </cell>
        </row>
        <row r="110">
          <cell r="A110">
            <v>107</v>
          </cell>
          <cell r="B110">
            <v>24041101</v>
          </cell>
          <cell r="C110" t="str">
            <v>한보람</v>
          </cell>
          <cell r="D110" t="str">
            <v>경영본부</v>
          </cell>
          <cell r="E110" t="str">
            <v>회계팀</v>
          </cell>
          <cell r="F110" t="str">
            <v>Payroll</v>
          </cell>
          <cell r="G110" t="str">
            <v>Member</v>
          </cell>
          <cell r="H110" t="str">
            <v>멤버</v>
          </cell>
          <cell r="I110">
            <v>45393</v>
          </cell>
          <cell r="J110">
            <v>45393</v>
          </cell>
          <cell r="K110" t="str">
            <v>정규직</v>
          </cell>
          <cell r="L110" t="str">
            <v>사무직</v>
          </cell>
          <cell r="M110" t="str">
            <v>재직</v>
          </cell>
          <cell r="N110" t="str">
            <v>930202-2011331</v>
          </cell>
          <cell r="O110">
            <v>34002</v>
          </cell>
          <cell r="P110" t="str">
            <v>여</v>
          </cell>
          <cell r="Q110">
            <v>33</v>
          </cell>
          <cell r="R110">
            <v>32</v>
          </cell>
          <cell r="S110" t="str">
            <v>010-9987-0898</v>
          </cell>
          <cell r="T110" t="str">
            <v>서울특별시 관악구 남현동 1064-26 (CS타운(A동)) 401호</v>
          </cell>
          <cell r="U110" t="str">
            <v>brhan@neurophet.com</v>
          </cell>
        </row>
        <row r="111">
          <cell r="A111">
            <v>108</v>
          </cell>
          <cell r="B111">
            <v>24050701</v>
          </cell>
          <cell r="C111" t="str">
            <v>이서경</v>
          </cell>
          <cell r="D111" t="str">
            <v>프로덕트본부</v>
          </cell>
          <cell r="E111" t="str">
            <v>PET팀</v>
          </cell>
          <cell r="F111" t="str">
            <v>백엔드개발</v>
          </cell>
          <cell r="G111" t="str">
            <v>Member</v>
          </cell>
          <cell r="H111" t="str">
            <v>멤버</v>
          </cell>
          <cell r="I111">
            <v>45419</v>
          </cell>
          <cell r="J111">
            <v>45419</v>
          </cell>
          <cell r="K111" t="str">
            <v>정규직</v>
          </cell>
          <cell r="L111" t="str">
            <v>연구직</v>
          </cell>
          <cell r="M111" t="str">
            <v>재직</v>
          </cell>
          <cell r="N111" t="str">
            <v>911029-2051211</v>
          </cell>
          <cell r="O111">
            <v>33540</v>
          </cell>
          <cell r="P111" t="str">
            <v>여</v>
          </cell>
          <cell r="Q111">
            <v>35</v>
          </cell>
          <cell r="R111">
            <v>33</v>
          </cell>
          <cell r="S111" t="str">
            <v>010-8764-1503</v>
          </cell>
          <cell r="T111" t="str">
            <v>서울특별시 도봉구 도봉로109길 35, 3층</v>
          </cell>
          <cell r="U111" t="str">
            <v>sklee@neurophet.com</v>
          </cell>
        </row>
        <row r="112">
          <cell r="A112">
            <v>109</v>
          </cell>
          <cell r="B112">
            <v>24051301</v>
          </cell>
          <cell r="C112" t="str">
            <v>이윤기</v>
          </cell>
          <cell r="D112" t="str">
            <v>경영본부</v>
          </cell>
          <cell r="E112" t="str">
            <v>IR/PR실</v>
          </cell>
          <cell r="F112" t="str">
            <v>IR</v>
          </cell>
          <cell r="G112" t="str">
            <v>Director</v>
          </cell>
          <cell r="H112" t="str">
            <v>실리드</v>
          </cell>
          <cell r="I112">
            <v>45425</v>
          </cell>
          <cell r="J112">
            <v>45425</v>
          </cell>
          <cell r="K112" t="str">
            <v>정규직</v>
          </cell>
          <cell r="L112" t="str">
            <v>사무직</v>
          </cell>
          <cell r="M112" t="str">
            <v>재직</v>
          </cell>
          <cell r="N112" t="str">
            <v>840829-1041810</v>
          </cell>
          <cell r="O112">
            <v>30923</v>
          </cell>
          <cell r="P112" t="str">
            <v>남</v>
          </cell>
          <cell r="Q112">
            <v>42</v>
          </cell>
          <cell r="R112">
            <v>40</v>
          </cell>
          <cell r="S112" t="str">
            <v>010-8533-0976</v>
          </cell>
          <cell r="T112" t="str">
            <v>서울특별시 강남구 테헤란로 52길 16 테헤란아이파크 103동 1401호</v>
          </cell>
          <cell r="U112" t="str">
            <v>yk.lee@neurophet.com</v>
          </cell>
        </row>
        <row r="113">
          <cell r="A113">
            <v>110</v>
          </cell>
          <cell r="B113">
            <v>24052001</v>
          </cell>
          <cell r="C113" t="str">
            <v>이원</v>
          </cell>
          <cell r="D113" t="str">
            <v>연구본부</v>
          </cell>
          <cell r="E113" t="str">
            <v>TechOps팀</v>
          </cell>
          <cell r="F113" t="str">
            <v>데이터</v>
          </cell>
          <cell r="G113" t="str">
            <v>Member</v>
          </cell>
          <cell r="H113" t="str">
            <v>멤버</v>
          </cell>
          <cell r="I113">
            <v>45432</v>
          </cell>
          <cell r="J113">
            <v>45432</v>
          </cell>
          <cell r="K113" t="str">
            <v>정규직</v>
          </cell>
          <cell r="L113" t="str">
            <v>연구직</v>
          </cell>
          <cell r="M113" t="str">
            <v>재직</v>
          </cell>
          <cell r="N113" t="str">
            <v>930917-1155012</v>
          </cell>
          <cell r="O113">
            <v>34229</v>
          </cell>
          <cell r="P113" t="str">
            <v>남</v>
          </cell>
          <cell r="Q113">
            <v>33</v>
          </cell>
          <cell r="R113">
            <v>31</v>
          </cell>
          <cell r="S113" t="str">
            <v>010-3515-2782</v>
          </cell>
          <cell r="T113" t="str">
            <v>경기도 화성시 동탄순환대로 22길 14 1222동 1601호</v>
          </cell>
          <cell r="U113" t="str">
            <v>wonlee@neurophet.com</v>
          </cell>
        </row>
        <row r="114">
          <cell r="A114">
            <v>111</v>
          </cell>
          <cell r="B114">
            <v>24052701</v>
          </cell>
          <cell r="C114" t="str">
            <v>지효진</v>
          </cell>
          <cell r="D114" t="str">
            <v>대표이사</v>
          </cell>
          <cell r="E114" t="str">
            <v>QA팀</v>
          </cell>
          <cell r="F114" t="str">
            <v>임상QA</v>
          </cell>
          <cell r="G114" t="str">
            <v>Member</v>
          </cell>
          <cell r="H114" t="str">
            <v>멤버</v>
          </cell>
          <cell r="I114">
            <v>45439</v>
          </cell>
          <cell r="J114">
            <v>45439</v>
          </cell>
          <cell r="K114" t="str">
            <v>정규직</v>
          </cell>
          <cell r="L114" t="str">
            <v>사무직</v>
          </cell>
          <cell r="M114" t="str">
            <v>재직</v>
          </cell>
          <cell r="N114" t="str">
            <v>970812-2017721</v>
          </cell>
          <cell r="O114">
            <v>35654</v>
          </cell>
          <cell r="P114" t="str">
            <v>여</v>
          </cell>
          <cell r="Q114">
            <v>29</v>
          </cell>
          <cell r="R114">
            <v>27</v>
          </cell>
          <cell r="S114" t="str">
            <v>010-3378-3596</v>
          </cell>
          <cell r="T114" t="str">
            <v>서울특별시 강동구 고덕로 360 고덕아르테온 322동 803호</v>
          </cell>
          <cell r="U114" t="str">
            <v>hyojin.jee@neurophet.com</v>
          </cell>
        </row>
        <row r="115">
          <cell r="A115">
            <v>112</v>
          </cell>
          <cell r="B115">
            <v>24060301</v>
          </cell>
          <cell r="C115" t="str">
            <v>유현재</v>
          </cell>
          <cell r="D115" t="str">
            <v>연구본부</v>
          </cell>
          <cell r="E115" t="str">
            <v>통계팀</v>
          </cell>
          <cell r="F115" t="str">
            <v>뇌공학연구</v>
          </cell>
          <cell r="G115" t="str">
            <v>Member</v>
          </cell>
          <cell r="H115" t="str">
            <v>멤버</v>
          </cell>
          <cell r="I115">
            <v>45446</v>
          </cell>
          <cell r="J115">
            <v>45446</v>
          </cell>
          <cell r="K115" t="str">
            <v>정규직</v>
          </cell>
          <cell r="L115" t="str">
            <v>연구직</v>
          </cell>
          <cell r="M115" t="str">
            <v>재직</v>
          </cell>
          <cell r="N115" t="str">
            <v>930505-1318924</v>
          </cell>
          <cell r="O115">
            <v>34094</v>
          </cell>
          <cell r="P115" t="str">
            <v>남</v>
          </cell>
          <cell r="Q115">
            <v>33</v>
          </cell>
          <cell r="R115">
            <v>31</v>
          </cell>
          <cell r="S115" t="str">
            <v>010-9111-3618</v>
          </cell>
          <cell r="T115" t="str">
            <v>강원특별자치도 춘천시 교동길 57-12, 201호 (교동, 힐하우스)</v>
          </cell>
          <cell r="U115" t="str">
            <v>yhj93@neurophet.com</v>
          </cell>
        </row>
        <row r="116">
          <cell r="A116">
            <v>113</v>
          </cell>
          <cell r="B116">
            <v>24061001</v>
          </cell>
          <cell r="C116" t="str">
            <v>조진희</v>
          </cell>
          <cell r="D116" t="str">
            <v>프로덕트본부</v>
          </cell>
          <cell r="E116" t="str">
            <v>SE팀</v>
          </cell>
          <cell r="F116" t="str">
            <v>기술지원</v>
          </cell>
          <cell r="G116" t="str">
            <v>Member</v>
          </cell>
          <cell r="H116" t="str">
            <v>멤버</v>
          </cell>
          <cell r="I116">
            <v>45453</v>
          </cell>
          <cell r="J116">
            <v>45453</v>
          </cell>
          <cell r="K116" t="str">
            <v>정규직</v>
          </cell>
          <cell r="L116" t="str">
            <v>연구직</v>
          </cell>
          <cell r="M116" t="str">
            <v>재직</v>
          </cell>
          <cell r="N116" t="str">
            <v>870428-2696817</v>
          </cell>
          <cell r="O116">
            <v>31895</v>
          </cell>
          <cell r="P116" t="str">
            <v>여</v>
          </cell>
          <cell r="Q116">
            <v>39</v>
          </cell>
          <cell r="R116">
            <v>37</v>
          </cell>
          <cell r="S116" t="str">
            <v>010-5640-9869</v>
          </cell>
          <cell r="T116" t="str">
            <v>경기도 시흥시 거북섬남로11 101동 2502호</v>
          </cell>
          <cell r="U116" t="str">
            <v>jhjo@neurophet.com</v>
          </cell>
        </row>
        <row r="117">
          <cell r="A117">
            <v>114</v>
          </cell>
          <cell r="B117">
            <v>24061701</v>
          </cell>
          <cell r="C117" t="str">
            <v>하신영</v>
          </cell>
          <cell r="D117" t="str">
            <v>프로덕트본부</v>
          </cell>
          <cell r="E117" t="str">
            <v>AQUA팀</v>
          </cell>
          <cell r="F117" t="str">
            <v>프론트엔드</v>
          </cell>
          <cell r="G117" t="str">
            <v>Member</v>
          </cell>
          <cell r="H117" t="str">
            <v>멤버</v>
          </cell>
          <cell r="I117">
            <v>45460</v>
          </cell>
          <cell r="J117">
            <v>45460</v>
          </cell>
          <cell r="K117" t="str">
            <v>정규직</v>
          </cell>
          <cell r="L117" t="str">
            <v>연구직</v>
          </cell>
          <cell r="M117" t="str">
            <v>재직</v>
          </cell>
          <cell r="N117" t="str">
            <v>920228-2214212</v>
          </cell>
          <cell r="O117">
            <v>33662</v>
          </cell>
          <cell r="P117" t="str">
            <v>여</v>
          </cell>
          <cell r="Q117">
            <v>34</v>
          </cell>
          <cell r="R117">
            <v>33</v>
          </cell>
          <cell r="S117" t="str">
            <v>010-7107-4536</v>
          </cell>
          <cell r="T117" t="str">
            <v>경기도 수원시 영통구 센트럴타운로76 6112동 1404호</v>
          </cell>
          <cell r="U117" t="str">
            <v>sy.ha@neurophet.com</v>
          </cell>
        </row>
        <row r="118">
          <cell r="A118">
            <v>115</v>
          </cell>
          <cell r="B118">
            <v>24061702</v>
          </cell>
          <cell r="C118" t="str">
            <v>박현규</v>
          </cell>
          <cell r="D118" t="str">
            <v>연구본부</v>
          </cell>
          <cell r="E118" t="str">
            <v>NR2팀</v>
          </cell>
          <cell r="F118" t="str">
            <v>뇌영상분석연구</v>
          </cell>
          <cell r="G118" t="str">
            <v>Lead</v>
          </cell>
          <cell r="H118" t="str">
            <v>팀리드</v>
          </cell>
          <cell r="I118">
            <v>45460</v>
          </cell>
          <cell r="J118">
            <v>45460</v>
          </cell>
          <cell r="K118" t="str">
            <v>정규직</v>
          </cell>
          <cell r="L118" t="str">
            <v>연구직</v>
          </cell>
          <cell r="M118" t="str">
            <v>재직</v>
          </cell>
          <cell r="N118" t="str">
            <v>930105-1018217</v>
          </cell>
          <cell r="O118">
            <v>33974</v>
          </cell>
          <cell r="P118" t="str">
            <v>남</v>
          </cell>
          <cell r="Q118">
            <v>33</v>
          </cell>
          <cell r="R118">
            <v>32</v>
          </cell>
          <cell r="S118" t="str">
            <v>010-8798-2389</v>
          </cell>
          <cell r="T118" t="str">
            <v>서울특별시 강남구 강남대로162길 27-32 4층</v>
          </cell>
          <cell r="U118" t="str">
            <v>hyungyou.park@neurophet.com</v>
          </cell>
        </row>
        <row r="119">
          <cell r="A119">
            <v>116</v>
          </cell>
          <cell r="B119">
            <v>24062401</v>
          </cell>
          <cell r="C119" t="str">
            <v>이동근</v>
          </cell>
          <cell r="D119" t="str">
            <v>연구본부</v>
          </cell>
          <cell r="E119" t="str">
            <v>임상팀</v>
          </cell>
          <cell r="F119" t="str">
            <v>CRA</v>
          </cell>
          <cell r="G119" t="str">
            <v>Member</v>
          </cell>
          <cell r="H119" t="str">
            <v>멤버</v>
          </cell>
          <cell r="I119">
            <v>45467</v>
          </cell>
          <cell r="J119">
            <v>45467</v>
          </cell>
          <cell r="K119" t="str">
            <v>정규직</v>
          </cell>
          <cell r="L119" t="str">
            <v>연구직</v>
          </cell>
          <cell r="M119" t="str">
            <v>재직</v>
          </cell>
          <cell r="N119" t="str">
            <v>971125-1047411</v>
          </cell>
          <cell r="O119">
            <v>35759</v>
          </cell>
          <cell r="P119" t="str">
            <v>남</v>
          </cell>
          <cell r="Q119">
            <v>29</v>
          </cell>
          <cell r="R119">
            <v>27</v>
          </cell>
          <cell r="S119" t="str">
            <v>010-6263-1125</v>
          </cell>
          <cell r="T119" t="str">
            <v>서울특별시 관약구 남부순환로 241길 41 202호</v>
          </cell>
          <cell r="U119" t="str">
            <v>dklee@neurophet.com</v>
          </cell>
        </row>
        <row r="120">
          <cell r="A120">
            <v>117</v>
          </cell>
          <cell r="B120">
            <v>24070101</v>
          </cell>
          <cell r="C120" t="str">
            <v>황수영</v>
          </cell>
          <cell r="D120" t="str">
            <v>연구본부</v>
          </cell>
          <cell r="E120" t="str">
            <v>임상팀</v>
          </cell>
          <cell r="F120" t="str">
            <v>Medical Writer</v>
          </cell>
          <cell r="G120" t="str">
            <v>Member</v>
          </cell>
          <cell r="H120" t="str">
            <v>멤버</v>
          </cell>
          <cell r="I120">
            <v>45474</v>
          </cell>
          <cell r="J120">
            <v>45474</v>
          </cell>
          <cell r="K120" t="str">
            <v>정규직</v>
          </cell>
          <cell r="L120" t="str">
            <v>연구직</v>
          </cell>
          <cell r="M120" t="str">
            <v>재직</v>
          </cell>
          <cell r="N120" t="str">
            <v>930504-2690312</v>
          </cell>
          <cell r="O120">
            <v>34093</v>
          </cell>
          <cell r="P120" t="str">
            <v>여</v>
          </cell>
          <cell r="Q120">
            <v>33</v>
          </cell>
          <cell r="R120">
            <v>31</v>
          </cell>
          <cell r="S120" t="str">
            <v>010-9253-4090</v>
          </cell>
          <cell r="T120" t="str">
            <v>서울특별시 강남구 압구정로 113 27동 601호</v>
          </cell>
          <cell r="U120" t="str">
            <v>sywhang@neurophet.com</v>
          </cell>
        </row>
        <row r="121">
          <cell r="A121">
            <v>118</v>
          </cell>
          <cell r="B121">
            <v>24071001</v>
          </cell>
          <cell r="C121" t="str">
            <v>배승훈</v>
          </cell>
          <cell r="D121" t="str">
            <v>연구본부</v>
          </cell>
          <cell r="E121" t="str">
            <v>임상팀</v>
          </cell>
          <cell r="F121" t="str">
            <v>Medical Writer</v>
          </cell>
          <cell r="G121" t="str">
            <v>Member</v>
          </cell>
          <cell r="H121" t="str">
            <v>멤버</v>
          </cell>
          <cell r="I121">
            <v>45483</v>
          </cell>
          <cell r="J121">
            <v>45483</v>
          </cell>
          <cell r="K121" t="str">
            <v>정규직</v>
          </cell>
          <cell r="L121" t="str">
            <v>연구직</v>
          </cell>
          <cell r="M121" t="str">
            <v>재직</v>
          </cell>
          <cell r="N121" t="str">
            <v>931204-5100170</v>
          </cell>
          <cell r="O121">
            <v>34307</v>
          </cell>
          <cell r="P121" t="str">
            <v>남</v>
          </cell>
          <cell r="Q121">
            <v>33</v>
          </cell>
          <cell r="R121">
            <v>31</v>
          </cell>
          <cell r="S121" t="str">
            <v>010-3209-6117</v>
          </cell>
          <cell r="T121" t="str">
            <v>서울특별시 영등포구 국회대로 597 104-1102</v>
          </cell>
          <cell r="U121" t="str">
            <v>shbae@neurophet.com</v>
          </cell>
        </row>
        <row r="122">
          <cell r="A122">
            <v>119</v>
          </cell>
          <cell r="B122">
            <v>24071501</v>
          </cell>
          <cell r="C122" t="str">
            <v>이은경</v>
          </cell>
          <cell r="D122" t="str">
            <v>연구본부</v>
          </cell>
          <cell r="E122" t="str">
            <v>뇌자극팀</v>
          </cell>
          <cell r="F122" t="str">
            <v>의공학연구</v>
          </cell>
          <cell r="G122" t="str">
            <v>Member</v>
          </cell>
          <cell r="H122" t="str">
            <v>멤버</v>
          </cell>
          <cell r="I122">
            <v>45488</v>
          </cell>
          <cell r="J122">
            <v>45488</v>
          </cell>
          <cell r="K122" t="str">
            <v>정규직</v>
          </cell>
          <cell r="L122" t="str">
            <v>연구직</v>
          </cell>
          <cell r="M122" t="str">
            <v>재직</v>
          </cell>
          <cell r="N122" t="str">
            <v>990311-2209217</v>
          </cell>
          <cell r="O122">
            <v>36230</v>
          </cell>
          <cell r="P122" t="str">
            <v>여</v>
          </cell>
          <cell r="Q122">
            <v>27</v>
          </cell>
          <cell r="R122">
            <v>26</v>
          </cell>
          <cell r="S122" t="str">
            <v>010-6426-1526</v>
          </cell>
          <cell r="T122" t="str">
            <v>서울특별시 성북구 화랑로48길 16(두산아파트), 122동 1703호</v>
          </cell>
          <cell r="U122" t="str">
            <v>yeg0311@neurophet.com</v>
          </cell>
        </row>
        <row r="123">
          <cell r="A123">
            <v>120</v>
          </cell>
          <cell r="B123">
            <v>24071502</v>
          </cell>
          <cell r="C123" t="str">
            <v>이정연</v>
          </cell>
          <cell r="D123" t="str">
            <v>비즈니스본부</v>
          </cell>
          <cell r="E123" t="str">
            <v>사업개발팀</v>
          </cell>
          <cell r="F123" t="str">
            <v>BD</v>
          </cell>
          <cell r="G123" t="str">
            <v>Director</v>
          </cell>
          <cell r="H123" t="str">
            <v>팀리드</v>
          </cell>
          <cell r="I123">
            <v>45488</v>
          </cell>
          <cell r="J123">
            <v>45488</v>
          </cell>
          <cell r="K123" t="str">
            <v>정규직</v>
          </cell>
          <cell r="L123" t="str">
            <v>사무직</v>
          </cell>
          <cell r="M123" t="str">
            <v>재직</v>
          </cell>
          <cell r="N123" t="str">
            <v>770117-2037437</v>
          </cell>
          <cell r="O123">
            <v>28190</v>
          </cell>
          <cell r="P123" t="str">
            <v>여</v>
          </cell>
          <cell r="Q123">
            <v>49</v>
          </cell>
          <cell r="R123">
            <v>48</v>
          </cell>
          <cell r="S123" t="str">
            <v>010-2691-1281</v>
          </cell>
          <cell r="T123" t="str">
            <v>서울특별시 서초구 방배로 26길, 42  303호</v>
          </cell>
          <cell r="U123" t="str">
            <v>alice@neurophet.com</v>
          </cell>
        </row>
        <row r="124">
          <cell r="A124">
            <v>121</v>
          </cell>
          <cell r="B124">
            <v>24071503</v>
          </cell>
          <cell r="C124" t="str">
            <v>문창훈</v>
          </cell>
          <cell r="D124" t="str">
            <v>비즈니스본부</v>
          </cell>
          <cell r="E124" t="str">
            <v>국내세일즈팀</v>
          </cell>
          <cell r="F124" t="str">
            <v>영업</v>
          </cell>
          <cell r="G124" t="str">
            <v>Member</v>
          </cell>
          <cell r="H124" t="str">
            <v>멤버</v>
          </cell>
          <cell r="I124">
            <v>45488</v>
          </cell>
          <cell r="J124">
            <v>45488</v>
          </cell>
          <cell r="K124" t="str">
            <v>정규직</v>
          </cell>
          <cell r="L124" t="str">
            <v>사무직</v>
          </cell>
          <cell r="M124" t="str">
            <v>재직</v>
          </cell>
          <cell r="N124" t="str">
            <v>950524-1074411</v>
          </cell>
          <cell r="O124">
            <v>34843</v>
          </cell>
          <cell r="P124" t="str">
            <v>남</v>
          </cell>
          <cell r="Q124">
            <v>31</v>
          </cell>
          <cell r="R124">
            <v>29</v>
          </cell>
          <cell r="S124" t="str">
            <v>010-9029-5525</v>
          </cell>
          <cell r="T124" t="str">
            <v>경기도 안양시 동안구 임곡로43 더 포레스트힐 아파트 109동 2004호</v>
          </cell>
          <cell r="U124" t="str">
            <v>changhoon.moon@neurophet.com</v>
          </cell>
        </row>
        <row r="125">
          <cell r="A125">
            <v>122</v>
          </cell>
          <cell r="B125">
            <v>24072201</v>
          </cell>
          <cell r="C125" t="str">
            <v>김정한</v>
          </cell>
          <cell r="D125" t="str">
            <v>비즈니스본부</v>
          </cell>
          <cell r="E125" t="str">
            <v>해외세일즈팀</v>
          </cell>
          <cell r="F125" t="str">
            <v>해외영업</v>
          </cell>
          <cell r="G125" t="str">
            <v>Director</v>
          </cell>
          <cell r="H125" t="str">
            <v>팀리드</v>
          </cell>
          <cell r="I125">
            <v>45495</v>
          </cell>
          <cell r="J125">
            <v>45495</v>
          </cell>
          <cell r="K125" t="str">
            <v>정규직</v>
          </cell>
          <cell r="L125" t="str">
            <v>사무직</v>
          </cell>
          <cell r="M125" t="str">
            <v>재직</v>
          </cell>
          <cell r="N125" t="str">
            <v>750722-1702612</v>
          </cell>
          <cell r="O125">
            <v>27597</v>
          </cell>
          <cell r="P125" t="str">
            <v>남</v>
          </cell>
          <cell r="Q125">
            <v>51</v>
          </cell>
          <cell r="R125">
            <v>49</v>
          </cell>
          <cell r="S125" t="str">
            <v>010-4818-1890</v>
          </cell>
          <cell r="T125" t="str">
            <v>서울특별시 노원구 섬밭로 232 현대우성아파트 103동 1404호</v>
          </cell>
          <cell r="U125" t="str">
            <v>jeonghankim@neurophet.com</v>
          </cell>
        </row>
        <row r="126">
          <cell r="A126">
            <v>123</v>
          </cell>
          <cell r="B126">
            <v>24072202</v>
          </cell>
          <cell r="C126" t="str">
            <v>김도연B</v>
          </cell>
          <cell r="D126" t="str">
            <v>대표이사</v>
          </cell>
          <cell r="E126" t="str">
            <v>SV팀</v>
          </cell>
          <cell r="F126" t="str">
            <v>SW검증</v>
          </cell>
          <cell r="G126" t="str">
            <v>Member</v>
          </cell>
          <cell r="H126" t="str">
            <v>멤버</v>
          </cell>
          <cell r="I126">
            <v>45495</v>
          </cell>
          <cell r="J126">
            <v>45495</v>
          </cell>
          <cell r="K126" t="str">
            <v>정규직</v>
          </cell>
          <cell r="L126" t="str">
            <v>사무직</v>
          </cell>
          <cell r="M126" t="str">
            <v>재직</v>
          </cell>
          <cell r="N126" t="str">
            <v>910607-1011216</v>
          </cell>
          <cell r="O126">
            <v>33396</v>
          </cell>
          <cell r="P126" t="str">
            <v>남</v>
          </cell>
          <cell r="Q126">
            <v>35</v>
          </cell>
          <cell r="R126">
            <v>33</v>
          </cell>
          <cell r="S126" t="str">
            <v>010-9049-7847</v>
          </cell>
          <cell r="T126" t="str">
            <v>서울특별시 은평구 녹번동 280-1 JR아파트 104동 1304호</v>
          </cell>
          <cell r="U126" t="str">
            <v>kdy@neurophet.com</v>
          </cell>
        </row>
        <row r="127">
          <cell r="A127">
            <v>124</v>
          </cell>
          <cell r="B127">
            <v>24072203</v>
          </cell>
          <cell r="C127" t="str">
            <v>최영훈</v>
          </cell>
          <cell r="D127" t="str">
            <v>비즈니스본부</v>
          </cell>
          <cell r="E127" t="str">
            <v>국내세일즈팀</v>
          </cell>
          <cell r="F127" t="str">
            <v>영업</v>
          </cell>
          <cell r="G127" t="str">
            <v>Member</v>
          </cell>
          <cell r="H127" t="str">
            <v>멤버</v>
          </cell>
          <cell r="I127">
            <v>45495</v>
          </cell>
          <cell r="J127">
            <v>45495</v>
          </cell>
          <cell r="K127" t="str">
            <v>정규직</v>
          </cell>
          <cell r="L127" t="str">
            <v>사무직</v>
          </cell>
          <cell r="M127" t="str">
            <v>재직</v>
          </cell>
          <cell r="N127" t="str">
            <v>910327-1117513</v>
          </cell>
          <cell r="O127">
            <v>33324</v>
          </cell>
          <cell r="P127" t="str">
            <v>남</v>
          </cell>
          <cell r="Q127">
            <v>35</v>
          </cell>
          <cell r="R127">
            <v>34</v>
          </cell>
          <cell r="S127" t="str">
            <v>010-9558-6854</v>
          </cell>
          <cell r="T127" t="str">
            <v>경기도 화성시 동탄역로 128, 중앙파크뷰 521호</v>
          </cell>
          <cell r="U127" t="str">
            <v>yhchoi@neurophet.com</v>
          </cell>
        </row>
        <row r="128">
          <cell r="A128">
            <v>125</v>
          </cell>
          <cell r="B128">
            <v>24080101</v>
          </cell>
          <cell r="C128" t="str">
            <v>김정인</v>
          </cell>
          <cell r="D128" t="str">
            <v>대표이사</v>
          </cell>
          <cell r="E128" t="str">
            <v>QA팀</v>
          </cell>
          <cell r="F128" t="str">
            <v>QA</v>
          </cell>
          <cell r="G128" t="str">
            <v>Member</v>
          </cell>
          <cell r="H128" t="str">
            <v>멤버</v>
          </cell>
          <cell r="I128">
            <v>45505</v>
          </cell>
          <cell r="J128">
            <v>45505</v>
          </cell>
          <cell r="K128" t="str">
            <v>정규직</v>
          </cell>
          <cell r="L128" t="str">
            <v>사무직</v>
          </cell>
          <cell r="M128" t="str">
            <v>재직</v>
          </cell>
          <cell r="N128" t="str">
            <v>941109-2140611</v>
          </cell>
          <cell r="O128">
            <v>34647</v>
          </cell>
          <cell r="P128" t="str">
            <v>여</v>
          </cell>
          <cell r="Q128">
            <v>32</v>
          </cell>
          <cell r="R128">
            <v>30</v>
          </cell>
          <cell r="S128" t="str">
            <v>010-7679-3135</v>
          </cell>
          <cell r="T128" t="str">
            <v xml:space="preserve">경기도 성남시 수정구 제일로 147번길 4 수진현대아파트, 1204호 </v>
          </cell>
          <cell r="U128" t="str">
            <v>jeongin@neurophet.com</v>
          </cell>
        </row>
        <row r="129">
          <cell r="A129">
            <v>126</v>
          </cell>
          <cell r="B129">
            <v>24080103</v>
          </cell>
          <cell r="C129" t="str">
            <v>정기원</v>
          </cell>
          <cell r="D129" t="str">
            <v>비즈니스본부</v>
          </cell>
          <cell r="E129" t="str">
            <v>해외세일즈팀</v>
          </cell>
          <cell r="F129" t="str">
            <v>해외영업지원</v>
          </cell>
          <cell r="G129" t="str">
            <v>Member</v>
          </cell>
          <cell r="H129" t="str">
            <v>멤버</v>
          </cell>
          <cell r="I129">
            <v>45505</v>
          </cell>
          <cell r="J129">
            <v>45505</v>
          </cell>
          <cell r="K129" t="str">
            <v>정규직</v>
          </cell>
          <cell r="L129" t="str">
            <v>사무직</v>
          </cell>
          <cell r="M129" t="str">
            <v>재직</v>
          </cell>
          <cell r="N129" t="str">
            <v>990302-1784019</v>
          </cell>
          <cell r="O129">
            <v>36221</v>
          </cell>
          <cell r="P129" t="str">
            <v>남</v>
          </cell>
          <cell r="Q129">
            <v>27</v>
          </cell>
          <cell r="R129">
            <v>26</v>
          </cell>
          <cell r="S129" t="str">
            <v>010-2379-2893</v>
          </cell>
          <cell r="T129" t="str">
            <v>서울특별시 은평구 은평터널로 16 DMC파인시티자이 114동 301호</v>
          </cell>
          <cell r="U129" t="str">
            <v>kiwon@neurophet.com</v>
          </cell>
        </row>
        <row r="130">
          <cell r="A130">
            <v>127</v>
          </cell>
          <cell r="B130">
            <v>24090201</v>
          </cell>
          <cell r="C130" t="str">
            <v>박찬웅</v>
          </cell>
          <cell r="D130" t="str">
            <v>비즈니스본부</v>
          </cell>
          <cell r="E130" t="str">
            <v>ICL팀</v>
          </cell>
          <cell r="F130" t="str">
            <v>CRO BD</v>
          </cell>
          <cell r="G130" t="str">
            <v>Director</v>
          </cell>
          <cell r="H130" t="str">
            <v>팀리드</v>
          </cell>
          <cell r="I130">
            <v>45537</v>
          </cell>
          <cell r="J130">
            <v>45537</v>
          </cell>
          <cell r="K130" t="str">
            <v>정규직</v>
          </cell>
          <cell r="L130" t="str">
            <v>사무직</v>
          </cell>
          <cell r="M130" t="str">
            <v>재직</v>
          </cell>
          <cell r="N130" t="str">
            <v>810819-1052510</v>
          </cell>
          <cell r="O130">
            <v>29817</v>
          </cell>
          <cell r="P130" t="str">
            <v>남</v>
          </cell>
          <cell r="Q130">
            <v>45</v>
          </cell>
          <cell r="R130">
            <v>43</v>
          </cell>
          <cell r="S130" t="str">
            <v>010-6791-6020</v>
          </cell>
          <cell r="T130" t="str">
            <v>서울특별시 마포구 대흥로 164 마포프레스티지자이 302동 1404호</v>
          </cell>
          <cell r="U130" t="str">
            <v>chanwoong.park@neurophet.com</v>
          </cell>
        </row>
        <row r="131">
          <cell r="A131">
            <v>128</v>
          </cell>
          <cell r="B131">
            <v>23091101</v>
          </cell>
          <cell r="C131" t="str">
            <v>김도연A</v>
          </cell>
          <cell r="D131" t="str">
            <v>연구본부</v>
          </cell>
          <cell r="E131" t="str">
            <v>AR3팀</v>
          </cell>
          <cell r="F131" t="str">
            <v>AI연구</v>
          </cell>
          <cell r="G131" t="str">
            <v>Member</v>
          </cell>
          <cell r="H131" t="str">
            <v>멤버</v>
          </cell>
          <cell r="I131">
            <v>45180</v>
          </cell>
          <cell r="J131">
            <v>45566</v>
          </cell>
          <cell r="K131" t="str">
            <v>정규직</v>
          </cell>
          <cell r="L131" t="str">
            <v>연구직</v>
          </cell>
          <cell r="M131" t="str">
            <v>재직</v>
          </cell>
          <cell r="N131" t="str">
            <v>010125-4164524</v>
          </cell>
          <cell r="O131">
            <v>36916</v>
          </cell>
          <cell r="P131" t="str">
            <v>여</v>
          </cell>
          <cell r="Q131">
            <v>25</v>
          </cell>
          <cell r="R131">
            <v>24</v>
          </cell>
          <cell r="S131" t="str">
            <v>010-3406-8250</v>
          </cell>
          <cell r="T131" t="str">
            <v>경기도 군포시 산본천로199번길 22-4, 403호</v>
          </cell>
          <cell r="U131" t="str">
            <v>doyeon@neurophet.com</v>
          </cell>
        </row>
        <row r="132">
          <cell r="A132">
            <v>129</v>
          </cell>
          <cell r="B132">
            <v>24060302</v>
          </cell>
          <cell r="C132" t="str">
            <v>김다현</v>
          </cell>
          <cell r="D132" t="str">
            <v>연구본부</v>
          </cell>
          <cell r="E132" t="str">
            <v>AR1팀</v>
          </cell>
          <cell r="F132" t="str">
            <v>AI연구</v>
          </cell>
          <cell r="G132" t="str">
            <v>Member</v>
          </cell>
          <cell r="H132" t="str">
            <v>멤버</v>
          </cell>
          <cell r="I132">
            <v>45446</v>
          </cell>
          <cell r="J132">
            <v>45566</v>
          </cell>
          <cell r="K132" t="str">
            <v>정규직</v>
          </cell>
          <cell r="L132" t="str">
            <v>연구직</v>
          </cell>
          <cell r="M132" t="str">
            <v>재직</v>
          </cell>
          <cell r="N132" t="str">
            <v>950306-2150012</v>
          </cell>
          <cell r="O132">
            <v>34764</v>
          </cell>
          <cell r="P132" t="str">
            <v>여</v>
          </cell>
          <cell r="Q132">
            <v>31</v>
          </cell>
          <cell r="R132">
            <v>30</v>
          </cell>
          <cell r="S132" t="str">
            <v>010-8013-8167</v>
          </cell>
          <cell r="T132" t="str">
            <v>인천광역시 연수구 원인재로 88 105동 1904호</v>
          </cell>
          <cell r="U132" t="str">
            <v>dahyun@neurophet.com</v>
          </cell>
        </row>
        <row r="133">
          <cell r="A133">
            <v>130</v>
          </cell>
          <cell r="B133">
            <v>24101401</v>
          </cell>
          <cell r="C133" t="str">
            <v>유용성</v>
          </cell>
          <cell r="D133" t="str">
            <v>경영본부</v>
          </cell>
          <cell r="E133" t="str">
            <v>IR팀</v>
          </cell>
          <cell r="F133" t="str">
            <v>IR</v>
          </cell>
          <cell r="G133" t="str">
            <v>Member</v>
          </cell>
          <cell r="H133" t="str">
            <v>멤버</v>
          </cell>
          <cell r="I133">
            <v>45579</v>
          </cell>
          <cell r="J133">
            <v>45579</v>
          </cell>
          <cell r="K133" t="str">
            <v>정규직</v>
          </cell>
          <cell r="L133" t="str">
            <v>사무직</v>
          </cell>
          <cell r="M133" t="str">
            <v>재직</v>
          </cell>
          <cell r="N133" t="str">
            <v>880228-1222427</v>
          </cell>
          <cell r="O133">
            <v>32201</v>
          </cell>
          <cell r="P133" t="str">
            <v>남</v>
          </cell>
          <cell r="Q133">
            <v>38</v>
          </cell>
          <cell r="R133">
            <v>37</v>
          </cell>
          <cell r="S133" t="str">
            <v>010-9820-8220</v>
          </cell>
          <cell r="T133" t="str">
            <v>서울특별시 관악구 조원로4길 28-4, 401호</v>
          </cell>
          <cell r="U133" t="str">
            <v>noah@neurophet.com</v>
          </cell>
        </row>
        <row r="134">
          <cell r="A134">
            <v>131</v>
          </cell>
          <cell r="B134">
            <v>24101402</v>
          </cell>
          <cell r="C134" t="str">
            <v>임철</v>
          </cell>
          <cell r="D134" t="str">
            <v>프로덕트본부</v>
          </cell>
          <cell r="E134" t="str">
            <v>PMO실</v>
          </cell>
          <cell r="F134" t="str">
            <v>PMO</v>
          </cell>
          <cell r="G134" t="str">
            <v>Director</v>
          </cell>
          <cell r="H134" t="str">
            <v>실리드</v>
          </cell>
          <cell r="I134">
            <v>45579</v>
          </cell>
          <cell r="J134">
            <v>45579</v>
          </cell>
          <cell r="K134" t="str">
            <v>정규직</v>
          </cell>
          <cell r="L134" t="str">
            <v>사무직</v>
          </cell>
          <cell r="M134" t="str">
            <v>재직</v>
          </cell>
          <cell r="N134" t="str">
            <v>751017-1648811</v>
          </cell>
          <cell r="O134">
            <v>27684</v>
          </cell>
          <cell r="P134" t="str">
            <v>남</v>
          </cell>
          <cell r="Q134">
            <v>51</v>
          </cell>
          <cell r="R134">
            <v>49</v>
          </cell>
          <cell r="S134" t="str">
            <v>010-3335-7292</v>
          </cell>
          <cell r="T134" t="str">
            <v>인천광역시 연수구 송도문화로 28번길 81 108동 604호</v>
          </cell>
          <cell r="U134" t="str">
            <v>clim@neurophet.com</v>
          </cell>
        </row>
        <row r="135">
          <cell r="A135">
            <v>132</v>
          </cell>
          <cell r="B135">
            <v>24102101</v>
          </cell>
          <cell r="C135" t="str">
            <v>김민섭</v>
          </cell>
          <cell r="D135" t="str">
            <v>프로덕트본부</v>
          </cell>
          <cell r="E135" t="str">
            <v>Platform팀</v>
          </cell>
          <cell r="F135" t="str">
            <v>DevOps</v>
          </cell>
          <cell r="G135" t="str">
            <v>Member</v>
          </cell>
          <cell r="H135" t="str">
            <v>멤버</v>
          </cell>
          <cell r="I135">
            <v>45586</v>
          </cell>
          <cell r="J135">
            <v>45586</v>
          </cell>
          <cell r="K135" t="str">
            <v>정규직</v>
          </cell>
          <cell r="L135" t="str">
            <v>연구직</v>
          </cell>
          <cell r="M135" t="str">
            <v>재직</v>
          </cell>
          <cell r="N135" t="str">
            <v>960430-1067214</v>
          </cell>
          <cell r="O135">
            <v>35185</v>
          </cell>
          <cell r="P135" t="str">
            <v>남</v>
          </cell>
          <cell r="Q135">
            <v>30</v>
          </cell>
          <cell r="R135">
            <v>28</v>
          </cell>
          <cell r="S135" t="str">
            <v>010-7138-9164</v>
          </cell>
          <cell r="T135" t="str">
            <v>서울특별시 은평구 통일로78길 36, 602호 (불광동)</v>
          </cell>
          <cell r="U135" t="str">
            <v>minseop@neurophet.com</v>
          </cell>
        </row>
        <row r="136">
          <cell r="A136">
            <v>133</v>
          </cell>
          <cell r="B136">
            <v>24102102</v>
          </cell>
          <cell r="C136" t="str">
            <v>황재욱</v>
          </cell>
          <cell r="D136" t="str">
            <v>연구본부</v>
          </cell>
          <cell r="E136" t="str">
            <v>TechOps팀</v>
          </cell>
          <cell r="F136" t="str">
            <v>레이블링</v>
          </cell>
          <cell r="G136" t="str">
            <v>Member</v>
          </cell>
          <cell r="H136" t="str">
            <v>멤버</v>
          </cell>
          <cell r="I136">
            <v>45586</v>
          </cell>
          <cell r="J136">
            <v>45586</v>
          </cell>
          <cell r="K136" t="str">
            <v>정규직</v>
          </cell>
          <cell r="L136" t="str">
            <v>사무직</v>
          </cell>
          <cell r="M136" t="str">
            <v>재직</v>
          </cell>
          <cell r="N136" t="str">
            <v>850104-1810110</v>
          </cell>
          <cell r="O136">
            <v>31051</v>
          </cell>
          <cell r="P136" t="str">
            <v>남</v>
          </cell>
          <cell r="Q136">
            <v>41</v>
          </cell>
          <cell r="R136">
            <v>40</v>
          </cell>
          <cell r="S136" t="str">
            <v>010-2515-5874</v>
          </cell>
          <cell r="T136" t="str">
            <v>강원특별자치도 강릉시 동해대로 2768 강릉자이파인베뉴 111동2201호</v>
          </cell>
          <cell r="U136" t="str">
            <v>jaewook@neurophet.com</v>
          </cell>
        </row>
        <row r="137">
          <cell r="A137">
            <v>134</v>
          </cell>
          <cell r="B137">
            <v>24112001</v>
          </cell>
          <cell r="C137" t="str">
            <v>장재훈</v>
          </cell>
          <cell r="D137" t="str">
            <v>경영본부</v>
          </cell>
          <cell r="E137" t="str">
            <v>운영팀</v>
          </cell>
          <cell r="F137" t="str">
            <v>총무</v>
          </cell>
          <cell r="G137" t="str">
            <v>Member</v>
          </cell>
          <cell r="H137" t="str">
            <v>멤버</v>
          </cell>
          <cell r="I137">
            <v>45616</v>
          </cell>
          <cell r="J137">
            <v>45616</v>
          </cell>
          <cell r="K137" t="str">
            <v>정규직</v>
          </cell>
          <cell r="L137" t="str">
            <v>사무직</v>
          </cell>
          <cell r="M137" t="str">
            <v>재직</v>
          </cell>
          <cell r="N137" t="str">
            <v>931118-1081717</v>
          </cell>
          <cell r="O137">
            <v>34291</v>
          </cell>
          <cell r="P137" t="str">
            <v>남</v>
          </cell>
          <cell r="Q137">
            <v>33</v>
          </cell>
          <cell r="R137">
            <v>31</v>
          </cell>
          <cell r="S137" t="str">
            <v>010-5310-7151</v>
          </cell>
          <cell r="T137" t="str">
            <v>서울특별시 송파구 송이로31길 20 힐스테이트e편한세상 문정 101동 204호</v>
          </cell>
          <cell r="U137" t="str">
            <v>jjh6351@neurophet.com</v>
          </cell>
        </row>
        <row r="138">
          <cell r="A138">
            <v>135</v>
          </cell>
          <cell r="B138">
            <v>23090401</v>
          </cell>
          <cell r="C138" t="str">
            <v>고가연</v>
          </cell>
          <cell r="D138" t="str">
            <v>연구본부</v>
          </cell>
          <cell r="E138" t="str">
            <v>TechOps팀</v>
          </cell>
          <cell r="F138" t="str">
            <v>레이블링</v>
          </cell>
          <cell r="G138" t="str">
            <v>Member</v>
          </cell>
          <cell r="H138" t="str">
            <v>멤버</v>
          </cell>
          <cell r="I138">
            <v>45173</v>
          </cell>
          <cell r="J138">
            <v>45627</v>
          </cell>
          <cell r="K138" t="str">
            <v>정규직</v>
          </cell>
          <cell r="L138" t="str">
            <v>연구직</v>
          </cell>
          <cell r="M138" t="str">
            <v>재직</v>
          </cell>
          <cell r="N138" t="str">
            <v>860418-2703715</v>
          </cell>
          <cell r="O138">
            <v>31520</v>
          </cell>
          <cell r="P138" t="str">
            <v>여</v>
          </cell>
          <cell r="Q138">
            <v>40</v>
          </cell>
          <cell r="R138">
            <v>38</v>
          </cell>
          <cell r="S138" t="str">
            <v>010-4919-4018</v>
          </cell>
          <cell r="T138" t="str">
            <v>경기도 수원시 영통구 덕영대로 1400 210동 2302호</v>
          </cell>
          <cell r="U138" t="str">
            <v>gyko@neurophet.com</v>
          </cell>
        </row>
        <row r="139">
          <cell r="A139">
            <v>136</v>
          </cell>
          <cell r="B139">
            <v>24120901</v>
          </cell>
          <cell r="C139" t="str">
            <v>강신일</v>
          </cell>
          <cell r="D139" t="str">
            <v>프로덕트본부</v>
          </cell>
          <cell r="E139" t="str">
            <v>AQUA팀</v>
          </cell>
          <cell r="F139" t="str">
            <v>Backend</v>
          </cell>
          <cell r="G139" t="str">
            <v>Member</v>
          </cell>
          <cell r="H139" t="str">
            <v>멤버</v>
          </cell>
          <cell r="I139">
            <v>45635</v>
          </cell>
          <cell r="J139">
            <v>45635</v>
          </cell>
          <cell r="K139" t="str">
            <v>정규직</v>
          </cell>
          <cell r="L139" t="str">
            <v>연구직</v>
          </cell>
          <cell r="M139" t="str">
            <v>재직</v>
          </cell>
          <cell r="N139" t="str">
            <v>911127-1149620</v>
          </cell>
          <cell r="O139">
            <v>33569</v>
          </cell>
          <cell r="P139" t="str">
            <v>남</v>
          </cell>
          <cell r="Q139">
            <v>35</v>
          </cell>
          <cell r="R139">
            <v>33</v>
          </cell>
          <cell r="S139" t="str">
            <v>010-8440-1944</v>
          </cell>
          <cell r="T139" t="str">
            <v>서울특별시 영등포구 당산로 83 101동 1804호</v>
          </cell>
          <cell r="U139" t="str">
            <v>sikang@neurophet.com</v>
          </cell>
        </row>
        <row r="140">
          <cell r="A140">
            <v>137</v>
          </cell>
          <cell r="B140">
            <v>24121601</v>
          </cell>
          <cell r="C140" t="str">
            <v>정수인</v>
          </cell>
          <cell r="D140" t="str">
            <v>비즈니스본부</v>
          </cell>
          <cell r="E140" t="str">
            <v>마케팅팀</v>
          </cell>
          <cell r="F140" t="str">
            <v>마케팅</v>
          </cell>
          <cell r="G140" t="str">
            <v>Member</v>
          </cell>
          <cell r="H140" t="str">
            <v>멤버</v>
          </cell>
          <cell r="I140">
            <v>45642</v>
          </cell>
          <cell r="J140">
            <v>45642</v>
          </cell>
          <cell r="K140" t="str">
            <v>정규직</v>
          </cell>
          <cell r="L140" t="str">
            <v>사무직</v>
          </cell>
          <cell r="M140" t="str">
            <v>재직</v>
          </cell>
          <cell r="N140" t="str">
            <v>861016-2351225</v>
          </cell>
          <cell r="O140">
            <v>31701</v>
          </cell>
          <cell r="P140" t="str">
            <v>여</v>
          </cell>
          <cell r="Q140">
            <v>40</v>
          </cell>
          <cell r="R140">
            <v>38</v>
          </cell>
          <cell r="S140" t="str">
            <v>010-7430-3537</v>
          </cell>
          <cell r="T140" t="str">
            <v>서울특별시 송파구 충민로 5 송파한화오벨리스크 D동 1122호</v>
          </cell>
          <cell r="U140" t="str">
            <v>suin@neurophet.com</v>
          </cell>
        </row>
        <row r="141">
          <cell r="A141">
            <v>138</v>
          </cell>
          <cell r="B141">
            <v>24123001</v>
          </cell>
          <cell r="C141" t="str">
            <v>김희연</v>
          </cell>
          <cell r="D141" t="str">
            <v>프로덕트본부</v>
          </cell>
          <cell r="E141" t="str">
            <v>SE팀</v>
          </cell>
          <cell r="F141" t="str">
            <v>기술지원</v>
          </cell>
          <cell r="G141" t="str">
            <v>Member</v>
          </cell>
          <cell r="H141" t="str">
            <v>멤버</v>
          </cell>
          <cell r="I141">
            <v>45656</v>
          </cell>
          <cell r="J141">
            <v>45656</v>
          </cell>
          <cell r="K141" t="str">
            <v>정규직</v>
          </cell>
          <cell r="L141" t="str">
            <v>연구직</v>
          </cell>
          <cell r="M141" t="str">
            <v>재직</v>
          </cell>
          <cell r="N141" t="str">
            <v>900427-2076119</v>
          </cell>
          <cell r="O141">
            <v>32990</v>
          </cell>
          <cell r="P141" t="str">
            <v>여</v>
          </cell>
          <cell r="Q141">
            <v>36</v>
          </cell>
          <cell r="R141">
            <v>34</v>
          </cell>
          <cell r="S141" t="str">
            <v>010-2898-8884</v>
          </cell>
          <cell r="T141" t="str">
            <v>경기도 시흥시 수풀안길 14-22 목감로얄팰리스 4차 710호</v>
          </cell>
          <cell r="U141" t="str">
            <v>kim.heeyeon@neurophet.com</v>
          </cell>
        </row>
        <row r="142">
          <cell r="A142">
            <v>139</v>
          </cell>
          <cell r="B142">
            <v>24123002</v>
          </cell>
          <cell r="C142" t="str">
            <v>한재희</v>
          </cell>
          <cell r="D142" t="str">
            <v>프로덕트본부</v>
          </cell>
          <cell r="E142" t="str">
            <v>SE팀</v>
          </cell>
          <cell r="F142" t="str">
            <v>기술지원</v>
          </cell>
          <cell r="G142" t="str">
            <v>Member</v>
          </cell>
          <cell r="H142" t="str">
            <v>멤버</v>
          </cell>
          <cell r="I142">
            <v>45656</v>
          </cell>
          <cell r="J142">
            <v>45656</v>
          </cell>
          <cell r="K142" t="str">
            <v>정규직</v>
          </cell>
          <cell r="L142" t="str">
            <v>연구직</v>
          </cell>
          <cell r="M142" t="str">
            <v>재직</v>
          </cell>
          <cell r="N142" t="str">
            <v>890417-1013011</v>
          </cell>
          <cell r="O142">
            <v>32615</v>
          </cell>
          <cell r="P142" t="str">
            <v>남</v>
          </cell>
          <cell r="Q142">
            <v>37</v>
          </cell>
          <cell r="R142">
            <v>35</v>
          </cell>
          <cell r="S142" t="str">
            <v>010-9494-5445</v>
          </cell>
          <cell r="T142" t="str">
            <v>경기도 안산시 단원구 석수로 138, 101동 504호</v>
          </cell>
          <cell r="U142" t="str">
            <v>jhhan@neurophet.com</v>
          </cell>
        </row>
        <row r="143">
          <cell r="A143">
            <v>140</v>
          </cell>
          <cell r="B143">
            <v>25010601</v>
          </cell>
          <cell r="C143" t="str">
            <v>배수진</v>
          </cell>
          <cell r="D143" t="str">
            <v>비즈니스본부</v>
          </cell>
          <cell r="E143" t="str">
            <v>해외세일즈팀</v>
          </cell>
          <cell r="F143" t="str">
            <v>해외영업</v>
          </cell>
          <cell r="G143" t="str">
            <v>Member</v>
          </cell>
          <cell r="H143" t="str">
            <v>멤버</v>
          </cell>
          <cell r="I143">
            <v>45663</v>
          </cell>
          <cell r="J143">
            <v>45663</v>
          </cell>
          <cell r="K143" t="str">
            <v>정규직</v>
          </cell>
          <cell r="L143" t="str">
            <v>사무직</v>
          </cell>
          <cell r="M143" t="str">
            <v>재직</v>
          </cell>
          <cell r="N143" t="str">
            <v>800723-2675010</v>
          </cell>
          <cell r="O143">
            <v>29425</v>
          </cell>
          <cell r="P143" t="str">
            <v>여</v>
          </cell>
          <cell r="Q143">
            <v>46</v>
          </cell>
          <cell r="R143">
            <v>44</v>
          </cell>
          <cell r="S143" t="str">
            <v>010-8761-2976</v>
          </cell>
          <cell r="T143" t="str">
            <v xml:space="preserve">경기도 광명시 디지털로 64 109동 1702호 </v>
          </cell>
          <cell r="U143" t="str">
            <v>sujinbae@neurophet.com</v>
          </cell>
        </row>
        <row r="144">
          <cell r="A144">
            <v>141</v>
          </cell>
          <cell r="B144">
            <v>25010602</v>
          </cell>
          <cell r="C144" t="str">
            <v>진경수</v>
          </cell>
          <cell r="D144" t="str">
            <v>프로덕트본부</v>
          </cell>
          <cell r="E144" t="str">
            <v>SE팀</v>
          </cell>
          <cell r="F144" t="str">
            <v>기술지원</v>
          </cell>
          <cell r="G144" t="str">
            <v>Member</v>
          </cell>
          <cell r="H144" t="str">
            <v>멤버</v>
          </cell>
          <cell r="I144">
            <v>45663</v>
          </cell>
          <cell r="J144">
            <v>45663</v>
          </cell>
          <cell r="K144" t="str">
            <v>정규직</v>
          </cell>
          <cell r="L144" t="str">
            <v>연구직</v>
          </cell>
          <cell r="M144" t="str">
            <v>재직</v>
          </cell>
          <cell r="N144" t="str">
            <v>920331-1081515</v>
          </cell>
          <cell r="O144">
            <v>33694</v>
          </cell>
          <cell r="P144" t="str">
            <v>남</v>
          </cell>
          <cell r="Q144">
            <v>34</v>
          </cell>
          <cell r="R144">
            <v>33</v>
          </cell>
          <cell r="S144" t="str">
            <v>010-4134-8792</v>
          </cell>
          <cell r="T144" t="str">
            <v>서울특별시 노원구 공릉로46길 32 삼익포레스트 108동 1303호</v>
          </cell>
          <cell r="U144" t="str">
            <v>jinks@neurophet.com</v>
          </cell>
        </row>
        <row r="145">
          <cell r="A145">
            <v>142</v>
          </cell>
          <cell r="B145">
            <v>25011301</v>
          </cell>
          <cell r="C145" t="str">
            <v>남대열</v>
          </cell>
          <cell r="D145" t="str">
            <v>경영본부</v>
          </cell>
          <cell r="E145" t="str">
            <v>PR팀</v>
          </cell>
          <cell r="F145" t="str">
            <v>PR</v>
          </cell>
          <cell r="G145" t="str">
            <v>Member</v>
          </cell>
          <cell r="H145" t="str">
            <v>멤버</v>
          </cell>
          <cell r="I145">
            <v>45670</v>
          </cell>
          <cell r="J145">
            <v>45670</v>
          </cell>
          <cell r="K145" t="str">
            <v>정규직</v>
          </cell>
          <cell r="L145" t="str">
            <v>사무직</v>
          </cell>
          <cell r="M145" t="str">
            <v>재직</v>
          </cell>
          <cell r="N145" t="str">
            <v>920626-1011913</v>
          </cell>
          <cell r="O145">
            <v>33781</v>
          </cell>
          <cell r="P145" t="str">
            <v>남</v>
          </cell>
          <cell r="Q145">
            <v>34</v>
          </cell>
          <cell r="R145">
            <v>32</v>
          </cell>
          <cell r="S145" t="str">
            <v>010-7340-5698</v>
          </cell>
          <cell r="T145" t="str">
            <v>경기도 구리시 동구릉로 53번길 67 202동 208호</v>
          </cell>
          <cell r="U145" t="str">
            <v>dynam@neurophet.com</v>
          </cell>
        </row>
        <row r="146">
          <cell r="A146">
            <v>143</v>
          </cell>
          <cell r="B146">
            <v>25011302</v>
          </cell>
          <cell r="C146" t="str">
            <v>이영훈</v>
          </cell>
          <cell r="D146" t="str">
            <v>연구본부</v>
          </cell>
          <cell r="E146" t="str">
            <v>AIOps팀</v>
          </cell>
          <cell r="F146" t="str">
            <v>AI연구</v>
          </cell>
          <cell r="G146" t="str">
            <v>Member</v>
          </cell>
          <cell r="H146" t="str">
            <v>멤버</v>
          </cell>
          <cell r="I146">
            <v>45670</v>
          </cell>
          <cell r="J146">
            <v>45670</v>
          </cell>
          <cell r="K146" t="str">
            <v>정규직</v>
          </cell>
          <cell r="L146" t="str">
            <v>연구직</v>
          </cell>
          <cell r="M146" t="str">
            <v>재직</v>
          </cell>
          <cell r="N146" t="str">
            <v>001220-3784018</v>
          </cell>
          <cell r="O146">
            <v>36880</v>
          </cell>
          <cell r="P146" t="str">
            <v>남</v>
          </cell>
          <cell r="Q146">
            <v>26</v>
          </cell>
          <cell r="R146">
            <v>24</v>
          </cell>
          <cell r="S146" t="str">
            <v>010-6589-2220</v>
          </cell>
          <cell r="T146" t="str">
            <v>서울특별시 관악구 봉천로346, 603호</v>
          </cell>
          <cell r="U146" t="str">
            <v>yeonghun@neurophet.com</v>
          </cell>
        </row>
        <row r="147">
          <cell r="A147">
            <v>144</v>
          </cell>
          <cell r="B147">
            <v>25020301</v>
          </cell>
          <cell r="C147" t="str">
            <v>한재후</v>
          </cell>
          <cell r="D147" t="str">
            <v>비즈니스본부</v>
          </cell>
          <cell r="E147" t="str">
            <v>해외세일즈팀</v>
          </cell>
          <cell r="F147" t="str">
            <v>해외영업</v>
          </cell>
          <cell r="G147" t="str">
            <v>Member</v>
          </cell>
          <cell r="H147" t="str">
            <v>멤버</v>
          </cell>
          <cell r="I147">
            <v>45691</v>
          </cell>
          <cell r="J147">
            <v>45691</v>
          </cell>
          <cell r="K147" t="str">
            <v>정규직</v>
          </cell>
          <cell r="L147" t="str">
            <v>사무직</v>
          </cell>
          <cell r="M147" t="str">
            <v>재직</v>
          </cell>
          <cell r="N147" t="str">
            <v>910124-1078516</v>
          </cell>
          <cell r="O147">
            <v>33262</v>
          </cell>
          <cell r="P147" t="str">
            <v>남</v>
          </cell>
          <cell r="Q147">
            <v>35</v>
          </cell>
          <cell r="R147">
            <v>34</v>
          </cell>
          <cell r="S147" t="str">
            <v>010-7271-9070</v>
          </cell>
          <cell r="T147" t="str">
            <v>경기 평택시 고덕로 191 고덕국제신도시금호어울림 1102동 201호</v>
          </cell>
          <cell r="U147" t="str">
            <v>jaehoo@neurophet.com</v>
          </cell>
        </row>
        <row r="148">
          <cell r="A148">
            <v>145</v>
          </cell>
          <cell r="B148">
            <v>25021001</v>
          </cell>
          <cell r="C148" t="str">
            <v>문은영</v>
          </cell>
          <cell r="D148" t="str">
            <v>비즈니스본부</v>
          </cell>
          <cell r="E148" t="str">
            <v>영업관리팀</v>
          </cell>
          <cell r="F148" t="str">
            <v>영업지원, 매출관리 등</v>
          </cell>
          <cell r="G148" t="str">
            <v>Lead</v>
          </cell>
          <cell r="H148" t="str">
            <v>팀리드</v>
          </cell>
          <cell r="I148">
            <v>45698</v>
          </cell>
          <cell r="J148">
            <v>45698</v>
          </cell>
          <cell r="K148" t="str">
            <v>정규직</v>
          </cell>
          <cell r="L148" t="str">
            <v>사무직</v>
          </cell>
          <cell r="M148" t="str">
            <v>재직</v>
          </cell>
          <cell r="N148" t="str">
            <v>750702-2058212</v>
          </cell>
          <cell r="O148">
            <v>27577</v>
          </cell>
          <cell r="P148" t="str">
            <v>여</v>
          </cell>
          <cell r="Q148">
            <v>51</v>
          </cell>
          <cell r="R148">
            <v>49</v>
          </cell>
          <cell r="S148" t="str">
            <v>010-2385-0814</v>
          </cell>
          <cell r="T148" t="str">
            <v>경기도 용인시 기흥구 금화로58번길 10, 상갈메트로파크 403-904</v>
          </cell>
          <cell r="U148" t="str">
            <v>eymoon@neurophet.com</v>
          </cell>
        </row>
        <row r="149">
          <cell r="A149">
            <v>146</v>
          </cell>
          <cell r="B149">
            <v>25021002</v>
          </cell>
          <cell r="C149" t="str">
            <v>조현준</v>
          </cell>
          <cell r="D149" t="str">
            <v>비즈니스본부</v>
          </cell>
          <cell r="E149" t="str">
            <v>국내세일즈팀</v>
          </cell>
          <cell r="F149" t="str">
            <v>영업</v>
          </cell>
          <cell r="G149" t="str">
            <v>Member</v>
          </cell>
          <cell r="H149" t="str">
            <v>멤버</v>
          </cell>
          <cell r="I149">
            <v>45698</v>
          </cell>
          <cell r="J149">
            <v>45698</v>
          </cell>
          <cell r="K149" t="str">
            <v>정규직</v>
          </cell>
          <cell r="L149" t="str">
            <v>사무직</v>
          </cell>
          <cell r="M149" t="str">
            <v>재직</v>
          </cell>
          <cell r="N149" t="str">
            <v>961011-1164811</v>
          </cell>
          <cell r="O149">
            <v>35349</v>
          </cell>
          <cell r="P149" t="str">
            <v>남</v>
          </cell>
          <cell r="Q149">
            <v>30</v>
          </cell>
          <cell r="R149">
            <v>28</v>
          </cell>
          <cell r="S149" t="str">
            <v>010-8110-2163</v>
          </cell>
          <cell r="T149" t="str">
            <v>경기도 화성시 동탄반석로 71 452동 1603호</v>
          </cell>
          <cell r="U149" t="str">
            <v>joon@neurophet.com</v>
          </cell>
        </row>
        <row r="150">
          <cell r="A150">
            <v>147</v>
          </cell>
          <cell r="B150">
            <v>24080601</v>
          </cell>
          <cell r="C150" t="str">
            <v>이은우</v>
          </cell>
          <cell r="D150" t="str">
            <v>연구본부</v>
          </cell>
          <cell r="E150" t="str">
            <v>의학팀</v>
          </cell>
          <cell r="F150" t="str">
            <v>의료분야에 연구 문헌검색, 의료행위 식별, 논문리뷰, 자료정리 등</v>
          </cell>
          <cell r="G150" t="str">
            <v>Temporary</v>
          </cell>
          <cell r="H150" t="str">
            <v>계약직</v>
          </cell>
          <cell r="I150">
            <v>45510</v>
          </cell>
          <cell r="J150">
            <v>45510</v>
          </cell>
          <cell r="K150" t="str">
            <v>계약직</v>
          </cell>
          <cell r="L150" t="str">
            <v>사무직</v>
          </cell>
          <cell r="M150" t="str">
            <v>재직</v>
          </cell>
          <cell r="N150" t="str">
            <v>981216-2020911</v>
          </cell>
          <cell r="O150">
            <v>36145</v>
          </cell>
          <cell r="P150" t="str">
            <v>여</v>
          </cell>
          <cell r="Q150">
            <v>28</v>
          </cell>
          <cell r="R150">
            <v>26</v>
          </cell>
          <cell r="S150" t="str">
            <v>010-9414-3371</v>
          </cell>
          <cell r="T150" t="str">
            <v>서울특별시 용산구 이촌로 174 102-2303</v>
          </cell>
          <cell r="U150" t="str">
            <v>eunwoo@neurophet.com</v>
          </cell>
        </row>
        <row r="151">
          <cell r="A151">
            <v>148</v>
          </cell>
          <cell r="B151">
            <v>24102103</v>
          </cell>
          <cell r="C151" t="str">
            <v>이용대</v>
          </cell>
          <cell r="D151" t="str">
            <v>연구본부</v>
          </cell>
          <cell r="E151" t="str">
            <v>NR1팀</v>
          </cell>
          <cell r="F151" t="str">
            <v>레이블링 디렉팅, 제품리포트기획, 영상소견 자문 등</v>
          </cell>
          <cell r="G151" t="str">
            <v>Temporary</v>
          </cell>
          <cell r="H151" t="str">
            <v>계약직</v>
          </cell>
          <cell r="I151">
            <v>45586</v>
          </cell>
          <cell r="J151">
            <v>45586</v>
          </cell>
          <cell r="K151" t="str">
            <v>계약직</v>
          </cell>
          <cell r="L151" t="str">
            <v>사무직</v>
          </cell>
          <cell r="M151" t="str">
            <v>재직</v>
          </cell>
          <cell r="N151" t="str">
            <v>891101-1178514</v>
          </cell>
          <cell r="O151">
            <v>32813</v>
          </cell>
          <cell r="P151" t="str">
            <v>남</v>
          </cell>
          <cell r="Q151">
            <v>37</v>
          </cell>
          <cell r="R151">
            <v>35</v>
          </cell>
          <cell r="S151" t="str">
            <v>010-8382-8302</v>
          </cell>
          <cell r="T151" t="str">
            <v>서울특별시 강남구 광평로51길 27 405동 908호</v>
          </cell>
          <cell r="U151" t="str">
            <v>yongdae@neurophet.com</v>
          </cell>
        </row>
        <row r="152">
          <cell r="A152">
            <v>149</v>
          </cell>
          <cell r="B152">
            <v>23110101</v>
          </cell>
          <cell r="C152" t="str">
            <v>이희승</v>
          </cell>
          <cell r="D152" t="str">
            <v>프로덕트본부</v>
          </cell>
          <cell r="E152" t="str">
            <v>PM팀</v>
          </cell>
          <cell r="F152" t="str">
            <v>Product Specialist(PS)</v>
          </cell>
          <cell r="G152" t="str">
            <v>Member</v>
          </cell>
          <cell r="H152" t="str">
            <v>멤버</v>
          </cell>
          <cell r="I152">
            <v>45231</v>
          </cell>
          <cell r="J152">
            <v>45231</v>
          </cell>
          <cell r="K152" t="str">
            <v>정규직</v>
          </cell>
          <cell r="L152" t="str">
            <v>연구직</v>
          </cell>
          <cell r="M152" t="str">
            <v>퇴직</v>
          </cell>
          <cell r="N152" t="str">
            <v>850107-1010917</v>
          </cell>
          <cell r="O152">
            <v>31054</v>
          </cell>
          <cell r="P152" t="str">
            <v>남</v>
          </cell>
          <cell r="Q152">
            <v>41</v>
          </cell>
          <cell r="R152">
            <v>40</v>
          </cell>
          <cell r="S152" t="str">
            <v>010-2270-3385</v>
          </cell>
          <cell r="T152" t="str">
            <v>인천광역시 연수구 센트럴로 232 더샵센트럴파크1 101동 3702호</v>
          </cell>
          <cell r="U152" t="str">
            <v>hslee@neurophet.com</v>
          </cell>
        </row>
        <row r="153">
          <cell r="A153">
            <v>150</v>
          </cell>
          <cell r="B153">
            <v>22030201</v>
          </cell>
          <cell r="C153" t="str">
            <v>고진수</v>
          </cell>
          <cell r="D153" t="str">
            <v>비즈니스본부</v>
          </cell>
          <cell r="E153" t="str">
            <v>세일즈&amp;서비스실</v>
          </cell>
          <cell r="F153" t="str">
            <v>국내영업총괄</v>
          </cell>
          <cell r="G153" t="str">
            <v>Director</v>
          </cell>
          <cell r="H153" t="str">
            <v>실리드</v>
          </cell>
          <cell r="I153">
            <v>44622</v>
          </cell>
          <cell r="J153">
            <v>44622</v>
          </cell>
          <cell r="K153" t="str">
            <v>정규직</v>
          </cell>
          <cell r="L153" t="str">
            <v>사무직</v>
          </cell>
          <cell r="M153" t="str">
            <v>퇴직</v>
          </cell>
          <cell r="N153" t="str">
            <v>760801-1098115</v>
          </cell>
          <cell r="O153">
            <v>27973</v>
          </cell>
          <cell r="P153" t="str">
            <v>남</v>
          </cell>
          <cell r="Q153">
            <v>50</v>
          </cell>
          <cell r="R153">
            <v>48</v>
          </cell>
          <cell r="S153" t="str">
            <v>010-4236-2625</v>
          </cell>
          <cell r="T153" t="str">
            <v>경기도 고양시 마두동 강석로110, 강촌마을 라이프5단지 505동 1505호</v>
          </cell>
          <cell r="U153" t="str">
            <v>jsko@neurophet.com</v>
          </cell>
        </row>
        <row r="154">
          <cell r="A154">
            <v>151</v>
          </cell>
          <cell r="B154">
            <v>20100501</v>
          </cell>
          <cell r="C154" t="str">
            <v>김별이</v>
          </cell>
          <cell r="D154" t="str">
            <v>대표이사</v>
          </cell>
          <cell r="E154" t="str">
            <v>RA팀</v>
          </cell>
          <cell r="F154" t="str">
            <v>인증</v>
          </cell>
          <cell r="G154" t="str">
            <v>Lead</v>
          </cell>
          <cell r="H154" t="str">
            <v>팀리드</v>
          </cell>
          <cell r="I154">
            <v>44109</v>
          </cell>
          <cell r="J154">
            <v>44109</v>
          </cell>
          <cell r="K154" t="str">
            <v>정규직</v>
          </cell>
          <cell r="L154" t="str">
            <v>사무직</v>
          </cell>
          <cell r="M154" t="str">
            <v>퇴직</v>
          </cell>
          <cell r="N154" t="str">
            <v>940104-2065714</v>
          </cell>
          <cell r="O154">
            <v>34338</v>
          </cell>
          <cell r="P154" t="str">
            <v>여</v>
          </cell>
          <cell r="Q154">
            <v>32</v>
          </cell>
          <cell r="R154">
            <v>31</v>
          </cell>
          <cell r="S154" t="str">
            <v>010-8344-9975</v>
          </cell>
          <cell r="T154" t="str">
            <v>경기도 화성시 동탄순환대로24길 101, 435동 507호 (영천동, 동탄2LH4단지)</v>
          </cell>
          <cell r="U154" t="str">
            <v>bekim@neurophet.com</v>
          </cell>
        </row>
        <row r="155">
          <cell r="A155">
            <v>152</v>
          </cell>
          <cell r="B155">
            <v>25010901</v>
          </cell>
          <cell r="C155" t="str">
            <v>고윤아</v>
          </cell>
          <cell r="D155" t="str">
            <v>연구본부</v>
          </cell>
          <cell r="E155" t="str">
            <v>임상팀</v>
          </cell>
          <cell r="F155" t="str">
            <v>임상팀 지원 업무</v>
          </cell>
          <cell r="G155" t="str">
            <v>Temporary</v>
          </cell>
          <cell r="H155" t="str">
            <v>계약직</v>
          </cell>
          <cell r="I155">
            <v>45666</v>
          </cell>
          <cell r="J155">
            <v>45666</v>
          </cell>
          <cell r="K155" t="str">
            <v>계약직</v>
          </cell>
          <cell r="L155" t="str">
            <v>사무직</v>
          </cell>
          <cell r="M155" t="str">
            <v>퇴직</v>
          </cell>
          <cell r="N155" t="str">
            <v>011211-4075110</v>
          </cell>
          <cell r="O155">
            <v>37236</v>
          </cell>
          <cell r="P155" t="str">
            <v>여</v>
          </cell>
          <cell r="Q155">
            <v>25</v>
          </cell>
          <cell r="R155">
            <v>23</v>
          </cell>
          <cell r="S155" t="str">
            <v>010-9354-4597</v>
          </cell>
          <cell r="T155" t="str">
            <v xml:space="preserve">경기도 용인시 기흥구 동백8로 90 (동백동, 백현마을모아미래도1단지아파트) 2408-406 </v>
          </cell>
          <cell r="U155" t="str">
            <v>yuna.ko@neurophet.com</v>
          </cell>
        </row>
        <row r="156">
          <cell r="A156">
            <v>153</v>
          </cell>
          <cell r="B156">
            <v>23121902</v>
          </cell>
          <cell r="C156" t="str">
            <v>김하람</v>
          </cell>
          <cell r="D156" t="str">
            <v>연구본부</v>
          </cell>
          <cell r="E156" t="str">
            <v>NR2팀</v>
          </cell>
          <cell r="F156" t="str">
            <v>데이터검수</v>
          </cell>
          <cell r="G156" t="str">
            <v>Member</v>
          </cell>
          <cell r="H156" t="str">
            <v>멤버</v>
          </cell>
          <cell r="I156">
            <v>45279</v>
          </cell>
          <cell r="J156">
            <v>45474</v>
          </cell>
          <cell r="K156" t="str">
            <v>정규직</v>
          </cell>
          <cell r="L156" t="str">
            <v>연구직</v>
          </cell>
          <cell r="M156" t="str">
            <v>퇴직</v>
          </cell>
          <cell r="N156" t="str">
            <v>981228-1496213</v>
          </cell>
          <cell r="O156">
            <v>36157</v>
          </cell>
          <cell r="P156" t="str">
            <v>남</v>
          </cell>
          <cell r="Q156">
            <v>28</v>
          </cell>
          <cell r="R156">
            <v>26</v>
          </cell>
          <cell r="S156" t="str">
            <v>010-7742-1431</v>
          </cell>
          <cell r="T156" t="str">
            <v>경기도 용인시 처인구 모현읍 왕산리 248-1</v>
          </cell>
          <cell r="U156" t="str">
            <v>haram@neurophet.com</v>
          </cell>
        </row>
        <row r="157">
          <cell r="A157">
            <v>154</v>
          </cell>
          <cell r="B157">
            <v>22090102</v>
          </cell>
          <cell r="C157" t="str">
            <v>이사라</v>
          </cell>
          <cell r="D157" t="str">
            <v>비즈니스본부</v>
          </cell>
          <cell r="E157" t="str">
            <v>마케팅팀</v>
          </cell>
          <cell r="F157" t="str">
            <v>마케팅</v>
          </cell>
          <cell r="G157" t="str">
            <v>Member</v>
          </cell>
          <cell r="H157" t="str">
            <v>멤버</v>
          </cell>
          <cell r="I157">
            <v>44805</v>
          </cell>
          <cell r="J157">
            <v>44805</v>
          </cell>
          <cell r="K157" t="str">
            <v>정규직</v>
          </cell>
          <cell r="L157" t="str">
            <v>사무직</v>
          </cell>
          <cell r="M157" t="str">
            <v>퇴직</v>
          </cell>
          <cell r="N157" t="str">
            <v>900429-2205019</v>
          </cell>
          <cell r="O157">
            <v>32992</v>
          </cell>
          <cell r="P157" t="str">
            <v>여</v>
          </cell>
          <cell r="Q157">
            <v>36</v>
          </cell>
          <cell r="R157">
            <v>34</v>
          </cell>
          <cell r="S157" t="str">
            <v>010-2920-2002</v>
          </cell>
          <cell r="T157" t="str">
            <v>서울특별시 강남구 역삼동 774-18 305호</v>
          </cell>
          <cell r="U157" t="str">
            <v>leesara@neurophet.com</v>
          </cell>
        </row>
        <row r="158">
          <cell r="A158">
            <v>155</v>
          </cell>
          <cell r="B158">
            <v>23092501</v>
          </cell>
          <cell r="C158" t="str">
            <v>안순영</v>
          </cell>
          <cell r="D158" t="str">
            <v>연구본부</v>
          </cell>
          <cell r="E158" t="str">
            <v>TechOps팀</v>
          </cell>
          <cell r="F158" t="str">
            <v>레이블링</v>
          </cell>
          <cell r="G158" t="str">
            <v>Temporary</v>
          </cell>
          <cell r="H158" t="str">
            <v>계약직</v>
          </cell>
          <cell r="I158">
            <v>45194</v>
          </cell>
          <cell r="J158">
            <v>45194</v>
          </cell>
          <cell r="K158" t="str">
            <v>계약직</v>
          </cell>
          <cell r="L158" t="str">
            <v>사무직</v>
          </cell>
          <cell r="M158" t="str">
            <v>퇴직</v>
          </cell>
          <cell r="N158" t="str">
            <v>801115-2155416</v>
          </cell>
          <cell r="O158">
            <v>29540</v>
          </cell>
          <cell r="P158" t="str">
            <v>여</v>
          </cell>
          <cell r="Q158">
            <v>46</v>
          </cell>
          <cell r="R158">
            <v>44</v>
          </cell>
          <cell r="S158" t="str">
            <v>010-9951-0084</v>
          </cell>
          <cell r="T158" t="str">
            <v>인천광역시 남동구 장아산로 181, 태평2차 APT, 205호 1503호</v>
          </cell>
          <cell r="U158" t="str">
            <v>ahnsoon@neurophet.com</v>
          </cell>
        </row>
        <row r="159">
          <cell r="A159">
            <v>156</v>
          </cell>
          <cell r="B159">
            <v>24030101</v>
          </cell>
          <cell r="C159" t="str">
            <v>김지수</v>
          </cell>
          <cell r="D159" t="str">
            <v>연구본부</v>
          </cell>
          <cell r="E159" t="str">
            <v>TechOps팀</v>
          </cell>
          <cell r="F159" t="str">
            <v>데이터검수</v>
          </cell>
          <cell r="G159" t="str">
            <v>Temporary</v>
          </cell>
          <cell r="H159" t="str">
            <v>계약직</v>
          </cell>
          <cell r="I159">
            <v>45352</v>
          </cell>
          <cell r="J159">
            <v>45352</v>
          </cell>
          <cell r="K159" t="str">
            <v>계약직</v>
          </cell>
          <cell r="L159" t="str">
            <v>사무직</v>
          </cell>
          <cell r="M159" t="str">
            <v>퇴직</v>
          </cell>
          <cell r="N159" t="str">
            <v>001127-4247416</v>
          </cell>
          <cell r="O159">
            <v>36857</v>
          </cell>
          <cell r="P159" t="str">
            <v>여</v>
          </cell>
          <cell r="Q159">
            <v>26</v>
          </cell>
          <cell r="R159">
            <v>24</v>
          </cell>
          <cell r="S159" t="str">
            <v>010-6458-8001</v>
          </cell>
          <cell r="T159" t="str">
            <v>경기도 하남시 아리수로 589, 1509-1001</v>
          </cell>
          <cell r="U159" t="str">
            <v>jisoo@neurophet.com</v>
          </cell>
        </row>
        <row r="160">
          <cell r="A160">
            <v>157</v>
          </cell>
          <cell r="B160">
            <v>24070103</v>
          </cell>
          <cell r="C160" t="str">
            <v>이영훈.</v>
          </cell>
          <cell r="D160" t="str">
            <v>연구본부</v>
          </cell>
          <cell r="E160" t="str">
            <v>AR3팀</v>
          </cell>
          <cell r="F160" t="str">
            <v>AI연구</v>
          </cell>
          <cell r="G160" t="str">
            <v>Temporary</v>
          </cell>
          <cell r="H160" t="str">
            <v>계약직</v>
          </cell>
          <cell r="I160">
            <v>45474</v>
          </cell>
          <cell r="J160">
            <v>45474</v>
          </cell>
          <cell r="K160" t="str">
            <v>계약직</v>
          </cell>
          <cell r="L160" t="str">
            <v>사무직</v>
          </cell>
          <cell r="M160" t="str">
            <v>퇴직</v>
          </cell>
          <cell r="N160" t="str">
            <v>001220-3784018</v>
          </cell>
          <cell r="O160">
            <v>36880</v>
          </cell>
          <cell r="P160" t="str">
            <v>남</v>
          </cell>
          <cell r="Q160">
            <v>26</v>
          </cell>
          <cell r="R160">
            <v>24</v>
          </cell>
          <cell r="S160" t="str">
            <v>010-6589-2220</v>
          </cell>
          <cell r="T160" t="str">
            <v>경상북도 안동시 송천길 155 엄지빌 A동 102호</v>
          </cell>
          <cell r="U160" t="str">
            <v>yeonghun@neurophet.com</v>
          </cell>
        </row>
        <row r="161">
          <cell r="A161">
            <v>158</v>
          </cell>
          <cell r="B161">
            <v>24092301</v>
          </cell>
          <cell r="C161" t="str">
            <v>김상윤</v>
          </cell>
          <cell r="D161" t="str">
            <v>비즈니스본부</v>
          </cell>
          <cell r="E161" t="str">
            <v>세일즈1팀</v>
          </cell>
          <cell r="F161" t="str">
            <v>영업</v>
          </cell>
          <cell r="G161" t="str">
            <v>Member</v>
          </cell>
          <cell r="H161" t="str">
            <v>멤버</v>
          </cell>
          <cell r="I161">
            <v>45558</v>
          </cell>
          <cell r="J161">
            <v>45558</v>
          </cell>
          <cell r="K161" t="str">
            <v>정규직</v>
          </cell>
          <cell r="L161" t="str">
            <v>사무직</v>
          </cell>
          <cell r="M161" t="str">
            <v>퇴직</v>
          </cell>
          <cell r="N161" t="str">
            <v>900410-1050319</v>
          </cell>
          <cell r="O161">
            <v>32973</v>
          </cell>
          <cell r="P161" t="str">
            <v>남</v>
          </cell>
          <cell r="Q161">
            <v>36</v>
          </cell>
          <cell r="R161">
            <v>34</v>
          </cell>
          <cell r="S161" t="str">
            <v>010-8903-5900</v>
          </cell>
          <cell r="T161" t="str">
            <v>경기도 화성시 장지동 976, 3339동 1002호</v>
          </cell>
          <cell r="U161" t="str">
            <v>sykim@neurophet.com</v>
          </cell>
        </row>
        <row r="162">
          <cell r="A162">
            <v>159</v>
          </cell>
          <cell r="B162">
            <v>24080102</v>
          </cell>
          <cell r="C162" t="str">
            <v>남기윤</v>
          </cell>
          <cell r="D162" t="str">
            <v>비즈니스본부</v>
          </cell>
          <cell r="E162" t="str">
            <v>SE팀</v>
          </cell>
          <cell r="F162" t="str">
            <v>SE</v>
          </cell>
          <cell r="G162" t="str">
            <v>Member</v>
          </cell>
          <cell r="H162" t="str">
            <v>멤버</v>
          </cell>
          <cell r="I162">
            <v>45505</v>
          </cell>
          <cell r="J162">
            <v>45505</v>
          </cell>
          <cell r="K162" t="str">
            <v>정규직</v>
          </cell>
          <cell r="L162" t="str">
            <v>사무직</v>
          </cell>
          <cell r="M162" t="str">
            <v>퇴직</v>
          </cell>
          <cell r="N162" t="str">
            <v>970830-1194314</v>
          </cell>
          <cell r="O162">
            <v>35672</v>
          </cell>
          <cell r="P162" t="str">
            <v>남</v>
          </cell>
          <cell r="Q162">
            <v>29</v>
          </cell>
          <cell r="R162">
            <v>27</v>
          </cell>
          <cell r="S162" t="str">
            <v>010-3300-7065</v>
          </cell>
          <cell r="T162" t="str">
            <v>경기도 군포시 엘에스로 143(금정역, 힐스테이트 아파트) 101-401</v>
          </cell>
          <cell r="U162" t="str">
            <v>kiyun@neurophet.com</v>
          </cell>
        </row>
        <row r="163">
          <cell r="A163">
            <v>160</v>
          </cell>
          <cell r="B163">
            <v>23012501</v>
          </cell>
          <cell r="C163" t="str">
            <v>심새롬</v>
          </cell>
          <cell r="D163" t="str">
            <v>경영본부</v>
          </cell>
          <cell r="E163" t="str">
            <v>PR팀</v>
          </cell>
          <cell r="F163" t="str">
            <v>해외PR</v>
          </cell>
          <cell r="G163" t="str">
            <v>Member</v>
          </cell>
          <cell r="H163" t="str">
            <v>멤버</v>
          </cell>
          <cell r="I163">
            <v>44951</v>
          </cell>
          <cell r="J163">
            <v>44951</v>
          </cell>
          <cell r="K163" t="str">
            <v>정규직</v>
          </cell>
          <cell r="L163" t="str">
            <v>사무직</v>
          </cell>
          <cell r="M163" t="str">
            <v>퇴직</v>
          </cell>
          <cell r="N163" t="str">
            <v>900201-2254333</v>
          </cell>
          <cell r="O163">
            <v>32905</v>
          </cell>
          <cell r="P163" t="str">
            <v>여</v>
          </cell>
          <cell r="Q163">
            <v>36</v>
          </cell>
          <cell r="R163">
            <v>35</v>
          </cell>
          <cell r="S163" t="str">
            <v>010-9938-8355</v>
          </cell>
          <cell r="T163" t="str">
            <v>경기도 광주시 문형산길157번길 10-11</v>
          </cell>
          <cell r="U163" t="str">
            <v>sshim@neurophet.com</v>
          </cell>
        </row>
        <row r="164">
          <cell r="A164">
            <v>161</v>
          </cell>
          <cell r="B164">
            <v>22010303</v>
          </cell>
          <cell r="C164" t="str">
            <v>박정우</v>
          </cell>
          <cell r="D164" t="str">
            <v>경영본부</v>
          </cell>
          <cell r="E164" t="str">
            <v>운영팀</v>
          </cell>
          <cell r="F164" t="str">
            <v>총무</v>
          </cell>
          <cell r="G164" t="str">
            <v>Member</v>
          </cell>
          <cell r="H164" t="str">
            <v>멤버</v>
          </cell>
          <cell r="I164">
            <v>44564</v>
          </cell>
          <cell r="J164">
            <v>44564</v>
          </cell>
          <cell r="K164" t="str">
            <v>정규직</v>
          </cell>
          <cell r="L164" t="str">
            <v>사무직</v>
          </cell>
          <cell r="M164" t="str">
            <v>퇴직</v>
          </cell>
          <cell r="N164" t="str">
            <v>861006-1696719</v>
          </cell>
          <cell r="O164">
            <v>31691</v>
          </cell>
          <cell r="P164" t="str">
            <v>남</v>
          </cell>
          <cell r="Q164">
            <v>40</v>
          </cell>
          <cell r="R164">
            <v>38</v>
          </cell>
          <cell r="S164" t="str">
            <v>010-8566-5599</v>
          </cell>
          <cell r="T164" t="str">
            <v>서울특별시 은평구 은평로 220, 115동 205호 (응암동, 녹번역e편한세상캐슬)</v>
          </cell>
          <cell r="U164" t="str">
            <v>jwpark@neurophet.com</v>
          </cell>
        </row>
        <row r="165">
          <cell r="A165">
            <v>162</v>
          </cell>
          <cell r="B165">
            <v>23071701</v>
          </cell>
          <cell r="C165" t="str">
            <v>양상모</v>
          </cell>
          <cell r="D165" t="str">
            <v>비즈니스본부</v>
          </cell>
          <cell r="E165" t="str">
            <v>SE2팀</v>
          </cell>
          <cell r="F165" t="str">
            <v>SE</v>
          </cell>
          <cell r="G165" t="str">
            <v>Lead</v>
          </cell>
          <cell r="H165" t="str">
            <v>팀리드</v>
          </cell>
          <cell r="I165">
            <v>45124</v>
          </cell>
          <cell r="J165">
            <v>45124</v>
          </cell>
          <cell r="K165" t="str">
            <v>정규직</v>
          </cell>
          <cell r="L165" t="str">
            <v>사무직</v>
          </cell>
          <cell r="M165" t="str">
            <v>퇴직</v>
          </cell>
          <cell r="N165" t="str">
            <v>800503-1837215</v>
          </cell>
          <cell r="O165">
            <v>29344</v>
          </cell>
          <cell r="P165" t="str">
            <v>남</v>
          </cell>
          <cell r="Q165">
            <v>46</v>
          </cell>
          <cell r="R165">
            <v>44</v>
          </cell>
          <cell r="S165" t="str">
            <v>010-2582-5955</v>
          </cell>
          <cell r="T165" t="str">
            <v>경기도 안산시 상록구 건건8길10, 108-2301호</v>
          </cell>
          <cell r="U165" t="str">
            <v>smyang@neurophet.com</v>
          </cell>
        </row>
        <row r="166">
          <cell r="A166">
            <v>163</v>
          </cell>
          <cell r="B166">
            <v>24062001</v>
          </cell>
          <cell r="C166" t="str">
            <v>전혜은</v>
          </cell>
          <cell r="D166" t="str">
            <v>비즈니스본부</v>
          </cell>
          <cell r="E166" t="str">
            <v>해외사업팀</v>
          </cell>
          <cell r="F166" t="str">
            <v>해외영업</v>
          </cell>
          <cell r="G166" t="str">
            <v>Member</v>
          </cell>
          <cell r="H166" t="str">
            <v>멤버</v>
          </cell>
          <cell r="I166">
            <v>45463</v>
          </cell>
          <cell r="J166">
            <v>45463</v>
          </cell>
          <cell r="K166" t="str">
            <v>정규직</v>
          </cell>
          <cell r="L166" t="str">
            <v>사무직</v>
          </cell>
          <cell r="M166" t="str">
            <v>퇴직</v>
          </cell>
          <cell r="N166" t="str">
            <v>921215-2057311</v>
          </cell>
          <cell r="O166">
            <v>33664</v>
          </cell>
          <cell r="P166" t="str">
            <v>여</v>
          </cell>
          <cell r="Q166">
            <v>34</v>
          </cell>
          <cell r="R166">
            <v>33</v>
          </cell>
          <cell r="S166" t="str">
            <v>010-2080-3797</v>
          </cell>
          <cell r="T166" t="str">
            <v>서울특별시 구로구 구일로4길 22, 118동 407호</v>
          </cell>
          <cell r="U166" t="str">
            <v>h_jeon@neurophet.com</v>
          </cell>
        </row>
        <row r="167">
          <cell r="A167">
            <v>164</v>
          </cell>
          <cell r="B167">
            <v>23121802</v>
          </cell>
          <cell r="C167" t="str">
            <v>김민우</v>
          </cell>
          <cell r="D167" t="str">
            <v>연구본부</v>
          </cell>
          <cell r="E167" t="str">
            <v>TechOps팀</v>
          </cell>
          <cell r="F167" t="str">
            <v>데이터검수</v>
          </cell>
          <cell r="G167" t="str">
            <v>Temporary</v>
          </cell>
          <cell r="H167" t="str">
            <v>계약직</v>
          </cell>
          <cell r="I167">
            <v>45278</v>
          </cell>
          <cell r="J167">
            <v>45278</v>
          </cell>
          <cell r="K167" t="str">
            <v>계약직</v>
          </cell>
          <cell r="L167" t="str">
            <v>사무직</v>
          </cell>
          <cell r="M167" t="str">
            <v>퇴직</v>
          </cell>
          <cell r="N167" t="str">
            <v>970512-1860411</v>
          </cell>
          <cell r="O167">
            <v>35562</v>
          </cell>
          <cell r="P167" t="str">
            <v>남</v>
          </cell>
          <cell r="Q167">
            <v>29</v>
          </cell>
          <cell r="R167">
            <v>27</v>
          </cell>
          <cell r="S167" t="str">
            <v>010-5021-5423</v>
          </cell>
          <cell r="T167" t="str">
            <v>인천광역시 부평구 안남로272청천금호타운 302동 2302호</v>
          </cell>
          <cell r="U167" t="str">
            <v>mwkim@neurophet.com</v>
          </cell>
        </row>
        <row r="168">
          <cell r="A168">
            <v>165</v>
          </cell>
          <cell r="B168">
            <v>22021501</v>
          </cell>
          <cell r="C168" t="str">
            <v>송채빈</v>
          </cell>
          <cell r="D168" t="str">
            <v>연구본부</v>
          </cell>
          <cell r="E168" t="str">
            <v>뇌자극팀</v>
          </cell>
          <cell r="F168" t="str">
            <v>Planning</v>
          </cell>
          <cell r="G168" t="str">
            <v>Member</v>
          </cell>
          <cell r="H168" t="str">
            <v>멤버</v>
          </cell>
          <cell r="I168">
            <v>44607</v>
          </cell>
          <cell r="J168">
            <v>44607</v>
          </cell>
          <cell r="K168" t="str">
            <v>정규직</v>
          </cell>
          <cell r="L168" t="str">
            <v>연구직</v>
          </cell>
          <cell r="M168" t="str">
            <v>퇴직</v>
          </cell>
          <cell r="N168" t="str">
            <v>940302-2058316</v>
          </cell>
          <cell r="O168">
            <v>34395</v>
          </cell>
          <cell r="P168" t="str">
            <v>여</v>
          </cell>
          <cell r="Q168">
            <v>32</v>
          </cell>
          <cell r="R168">
            <v>31</v>
          </cell>
          <cell r="S168" t="str">
            <v>010-3127-9403</v>
          </cell>
          <cell r="T168" t="str">
            <v>서울특별시 구로구 구로동로28길 87 호정빌라 301호</v>
          </cell>
          <cell r="U168" t="str">
            <v>cbsong@neurophet.com</v>
          </cell>
        </row>
        <row r="169">
          <cell r="A169">
            <v>166</v>
          </cell>
          <cell r="B169">
            <v>22110102</v>
          </cell>
          <cell r="C169" t="str">
            <v>김영재</v>
          </cell>
          <cell r="D169" t="str">
            <v>프로덕트본부</v>
          </cell>
          <cell r="E169" t="str">
            <v>AQUA팀</v>
          </cell>
          <cell r="F169" t="str">
            <v>개발</v>
          </cell>
          <cell r="G169" t="str">
            <v>Member</v>
          </cell>
          <cell r="H169" t="str">
            <v>멤버</v>
          </cell>
          <cell r="I169">
            <v>44866</v>
          </cell>
          <cell r="J169">
            <v>44866</v>
          </cell>
          <cell r="K169" t="str">
            <v>정규직</v>
          </cell>
          <cell r="L169" t="str">
            <v>연구직</v>
          </cell>
          <cell r="M169" t="str">
            <v>퇴직</v>
          </cell>
          <cell r="N169" t="str">
            <v>871013-1552311</v>
          </cell>
          <cell r="O169">
            <v>32063</v>
          </cell>
          <cell r="P169" t="str">
            <v>남</v>
          </cell>
          <cell r="Q169">
            <v>39</v>
          </cell>
          <cell r="R169">
            <v>37</v>
          </cell>
          <cell r="S169" t="str">
            <v>010-9440-4178</v>
          </cell>
          <cell r="T169" t="str">
            <v>경기도 성남시 분당구 성남대로172번길12 현대아리온 227</v>
          </cell>
          <cell r="U169" t="str">
            <v>yjkim@neurophet.com</v>
          </cell>
        </row>
        <row r="170">
          <cell r="A170">
            <v>167</v>
          </cell>
          <cell r="B170">
            <v>24070102</v>
          </cell>
          <cell r="C170" t="str">
            <v>우동훈</v>
          </cell>
          <cell r="D170" t="str">
            <v>프로덕트본부</v>
          </cell>
          <cell r="E170" t="str">
            <v>SV팀</v>
          </cell>
          <cell r="F170" t="str">
            <v>테스트</v>
          </cell>
          <cell r="G170" t="str">
            <v>Temporary</v>
          </cell>
          <cell r="H170" t="str">
            <v>계약직</v>
          </cell>
          <cell r="I170">
            <v>45474</v>
          </cell>
          <cell r="J170">
            <v>45474</v>
          </cell>
          <cell r="K170" t="str">
            <v>계약직</v>
          </cell>
          <cell r="L170" t="str">
            <v>연구직</v>
          </cell>
          <cell r="M170" t="str">
            <v>퇴직</v>
          </cell>
          <cell r="N170" t="str">
            <v>980912-1267710</v>
          </cell>
          <cell r="O170">
            <v>36050</v>
          </cell>
          <cell r="P170" t="str">
            <v>남</v>
          </cell>
          <cell r="Q170">
            <v>28</v>
          </cell>
          <cell r="R170">
            <v>26</v>
          </cell>
          <cell r="S170" t="str">
            <v>010-7554-5514</v>
          </cell>
          <cell r="T170" t="str">
            <v>강원도 원주시 봉화로 74 101동 904호</v>
          </cell>
          <cell r="U170" t="str">
            <v>dongheun@neurophet.com</v>
          </cell>
        </row>
        <row r="171">
          <cell r="A171">
            <v>168</v>
          </cell>
          <cell r="B171">
            <v>22040701</v>
          </cell>
          <cell r="C171" t="str">
            <v>김도홍</v>
          </cell>
          <cell r="D171" t="str">
            <v>비즈니스본부</v>
          </cell>
          <cell r="E171" t="str">
            <v>해외사업팀</v>
          </cell>
          <cell r="F171" t="str">
            <v>BD</v>
          </cell>
          <cell r="G171" t="str">
            <v>Lead</v>
          </cell>
          <cell r="H171" t="str">
            <v>팀리드</v>
          </cell>
          <cell r="I171">
            <v>44658</v>
          </cell>
          <cell r="J171">
            <v>44658</v>
          </cell>
          <cell r="K171" t="str">
            <v>정규직</v>
          </cell>
          <cell r="L171" t="str">
            <v>사무직</v>
          </cell>
          <cell r="M171" t="str">
            <v>퇴직</v>
          </cell>
          <cell r="N171" t="str">
            <v>840627-5780171</v>
          </cell>
          <cell r="O171">
            <v>30860</v>
          </cell>
          <cell r="P171" t="str">
            <v>남</v>
          </cell>
          <cell r="Q171">
            <v>42</v>
          </cell>
          <cell r="R171">
            <v>40</v>
          </cell>
          <cell r="S171" t="str">
            <v>010-8868-7641</v>
          </cell>
          <cell r="T171" t="str">
            <v>서울특별시 사가정로 190 우성아파트 11-1003</v>
          </cell>
          <cell r="U171" t="str">
            <v>luis.kim@neurophet.com</v>
          </cell>
        </row>
        <row r="172">
          <cell r="A172">
            <v>169</v>
          </cell>
          <cell r="B172">
            <v>22101701</v>
          </cell>
          <cell r="C172" t="str">
            <v>장태익</v>
          </cell>
          <cell r="D172" t="str">
            <v>비즈니스본부</v>
          </cell>
          <cell r="E172" t="str">
            <v>세일즈1팀</v>
          </cell>
          <cell r="F172" t="str">
            <v>영업</v>
          </cell>
          <cell r="G172" t="str">
            <v>Member</v>
          </cell>
          <cell r="H172" t="str">
            <v>멤버</v>
          </cell>
          <cell r="I172">
            <v>44851</v>
          </cell>
          <cell r="J172">
            <v>44851</v>
          </cell>
          <cell r="K172" t="str">
            <v>정규직</v>
          </cell>
          <cell r="L172" t="str">
            <v>사무직</v>
          </cell>
          <cell r="M172" t="str">
            <v>퇴직</v>
          </cell>
          <cell r="N172" t="str">
            <v>841002-1080418</v>
          </cell>
          <cell r="O172">
            <v>30957</v>
          </cell>
          <cell r="P172" t="str">
            <v>남</v>
          </cell>
          <cell r="Q172">
            <v>42</v>
          </cell>
          <cell r="R172">
            <v>40</v>
          </cell>
          <cell r="S172" t="str">
            <v>010-4669-1751</v>
          </cell>
          <cell r="T172" t="str">
            <v>경기도 광명시 디지털로 63 주공 1219동 101호</v>
          </cell>
          <cell r="U172" t="str">
            <v>taeikjang@neurophet.com</v>
          </cell>
        </row>
        <row r="173">
          <cell r="A173">
            <v>170</v>
          </cell>
          <cell r="B173">
            <v>22110103</v>
          </cell>
          <cell r="C173" t="str">
            <v>최정민</v>
          </cell>
          <cell r="D173" t="str">
            <v>비즈니스본부</v>
          </cell>
          <cell r="E173" t="str">
            <v>세일즈2팀</v>
          </cell>
          <cell r="F173" t="str">
            <v>영업</v>
          </cell>
          <cell r="G173" t="str">
            <v>Member</v>
          </cell>
          <cell r="H173" t="str">
            <v>멤버</v>
          </cell>
          <cell r="I173">
            <v>44866</v>
          </cell>
          <cell r="J173">
            <v>44866</v>
          </cell>
          <cell r="K173" t="str">
            <v>정규직</v>
          </cell>
          <cell r="L173" t="str">
            <v>사무직</v>
          </cell>
          <cell r="M173" t="str">
            <v>퇴직</v>
          </cell>
          <cell r="N173" t="str">
            <v>810829-1561418</v>
          </cell>
          <cell r="O173">
            <v>29827</v>
          </cell>
          <cell r="P173" t="str">
            <v>남</v>
          </cell>
          <cell r="Q173">
            <v>45</v>
          </cell>
          <cell r="R173">
            <v>43</v>
          </cell>
          <cell r="S173" t="str">
            <v>010-3558-7628</v>
          </cell>
          <cell r="T173" t="str">
            <v>경기도 안양시 동안구 벌말로 66 평촌하이필드 C동 1320호</v>
          </cell>
          <cell r="U173" t="str">
            <v>jmchoi@neurophet.com</v>
          </cell>
        </row>
        <row r="174">
          <cell r="A174">
            <v>171</v>
          </cell>
          <cell r="B174">
            <v>24012901</v>
          </cell>
          <cell r="C174" t="str">
            <v>정경훈</v>
          </cell>
          <cell r="D174" t="str">
            <v>연구본부</v>
          </cell>
          <cell r="E174" t="str">
            <v>AR2팀</v>
          </cell>
          <cell r="F174" t="str">
            <v>AI연구</v>
          </cell>
          <cell r="G174" t="str">
            <v>Temporary</v>
          </cell>
          <cell r="H174" t="str">
            <v>계약직</v>
          </cell>
          <cell r="I174">
            <v>45320</v>
          </cell>
          <cell r="J174">
            <v>45320</v>
          </cell>
          <cell r="K174" t="str">
            <v>계약직</v>
          </cell>
          <cell r="L174" t="str">
            <v>사무직</v>
          </cell>
          <cell r="M174" t="str">
            <v>퇴직</v>
          </cell>
          <cell r="N174" t="str">
            <v>980827-1085619</v>
          </cell>
          <cell r="O174">
            <v>36034</v>
          </cell>
          <cell r="P174" t="str">
            <v>남</v>
          </cell>
          <cell r="Q174">
            <v>28</v>
          </cell>
          <cell r="R174">
            <v>26</v>
          </cell>
          <cell r="S174" t="str">
            <v>010-5032-3735</v>
          </cell>
          <cell r="T174" t="str">
            <v>서울특별시 강남구 학동로 77길 27 101동 904호</v>
          </cell>
          <cell r="U174" t="str">
            <v>kyunghoon@neurophet.com</v>
          </cell>
        </row>
        <row r="175">
          <cell r="A175">
            <v>172</v>
          </cell>
          <cell r="B175">
            <v>23112002</v>
          </cell>
          <cell r="C175" t="str">
            <v>류채은</v>
          </cell>
          <cell r="D175" t="str">
            <v>연구본부</v>
          </cell>
          <cell r="E175" t="str">
            <v>AR2팀</v>
          </cell>
          <cell r="F175" t="str">
            <v>AI연구</v>
          </cell>
          <cell r="G175" t="str">
            <v>Member</v>
          </cell>
          <cell r="H175" t="str">
            <v>멤버</v>
          </cell>
          <cell r="I175">
            <v>45250</v>
          </cell>
          <cell r="J175">
            <v>45250</v>
          </cell>
          <cell r="K175" t="str">
            <v>정규직</v>
          </cell>
          <cell r="L175" t="str">
            <v>연구직</v>
          </cell>
          <cell r="M175" t="str">
            <v>퇴직</v>
          </cell>
          <cell r="N175" t="str">
            <v>990308-2030512</v>
          </cell>
          <cell r="O175">
            <v>36227</v>
          </cell>
          <cell r="P175" t="str">
            <v>여</v>
          </cell>
          <cell r="Q175">
            <v>27</v>
          </cell>
          <cell r="R175">
            <v>26</v>
          </cell>
          <cell r="S175" t="str">
            <v>010-5765-2586</v>
          </cell>
          <cell r="T175" t="str">
            <v>서울특별시 서초구 서초대로 17 (방배동, 방배대우디오빌)</v>
          </cell>
          <cell r="U175" t="str">
            <v>chagrit@neurophet.com</v>
          </cell>
        </row>
        <row r="176">
          <cell r="A176">
            <v>173</v>
          </cell>
          <cell r="B176">
            <v>23120102</v>
          </cell>
          <cell r="C176" t="str">
            <v>강지현</v>
          </cell>
          <cell r="D176" t="str">
            <v>연구본부</v>
          </cell>
          <cell r="E176" t="str">
            <v>TechOps팀</v>
          </cell>
          <cell r="F176" t="str">
            <v>데이터검수</v>
          </cell>
          <cell r="G176" t="str">
            <v>Temporary</v>
          </cell>
          <cell r="H176" t="str">
            <v>계약직</v>
          </cell>
          <cell r="I176">
            <v>45261</v>
          </cell>
          <cell r="J176">
            <v>45261</v>
          </cell>
          <cell r="K176" t="str">
            <v>계약직</v>
          </cell>
          <cell r="L176" t="str">
            <v>사무직</v>
          </cell>
          <cell r="M176" t="str">
            <v>퇴직</v>
          </cell>
          <cell r="N176" t="str">
            <v>951209-2401614</v>
          </cell>
          <cell r="O176">
            <v>35042</v>
          </cell>
          <cell r="P176" t="str">
            <v>여</v>
          </cell>
          <cell r="Q176">
            <v>31</v>
          </cell>
          <cell r="R176">
            <v>29</v>
          </cell>
          <cell r="S176" t="str">
            <v>010-9167-5627</v>
          </cell>
          <cell r="T176" t="str">
            <v>서울특별시 강동구 올림픽로 92길 13 704호</v>
          </cell>
          <cell r="U176" t="str">
            <v>jihyun.kang@neurophet.com</v>
          </cell>
        </row>
        <row r="177">
          <cell r="A177">
            <v>174</v>
          </cell>
          <cell r="B177">
            <v>21083002</v>
          </cell>
          <cell r="C177" t="str">
            <v>전수현</v>
          </cell>
          <cell r="D177" t="str">
            <v>연구본부</v>
          </cell>
          <cell r="E177" t="str">
            <v>TechOps팀</v>
          </cell>
          <cell r="F177" t="str">
            <v>데이터&amp;레이블링</v>
          </cell>
          <cell r="G177" t="str">
            <v>Member</v>
          </cell>
          <cell r="H177" t="str">
            <v>멤버</v>
          </cell>
          <cell r="I177">
            <v>44560</v>
          </cell>
          <cell r="J177">
            <v>44560</v>
          </cell>
          <cell r="K177" t="str">
            <v>정규직</v>
          </cell>
          <cell r="L177" t="str">
            <v>연구직</v>
          </cell>
          <cell r="M177" t="str">
            <v>퇴직</v>
          </cell>
          <cell r="N177" t="str">
            <v>980331-2267715</v>
          </cell>
          <cell r="O177">
            <v>35885</v>
          </cell>
          <cell r="P177" t="str">
            <v>여</v>
          </cell>
          <cell r="Q177">
            <v>28</v>
          </cell>
          <cell r="R177">
            <v>27</v>
          </cell>
          <cell r="S177" t="str">
            <v>010-3227-3630</v>
          </cell>
          <cell r="T177" t="str">
            <v>서울특별시 노원구 공릉동 506-23 303호</v>
          </cell>
          <cell r="U177" t="str">
            <v>soohyun@neurophet.com</v>
          </cell>
        </row>
        <row r="178">
          <cell r="A178">
            <v>175</v>
          </cell>
          <cell r="B178">
            <v>20050101</v>
          </cell>
          <cell r="C178" t="str">
            <v>김정원</v>
          </cell>
          <cell r="D178" t="str">
            <v>경영본부</v>
          </cell>
          <cell r="E178" t="str">
            <v>재무실</v>
          </cell>
          <cell r="F178" t="str">
            <v>재무회계총괄</v>
          </cell>
          <cell r="G178" t="str">
            <v>Director</v>
          </cell>
          <cell r="H178" t="str">
            <v>팀리드</v>
          </cell>
          <cell r="I178">
            <v>43952</v>
          </cell>
          <cell r="J178">
            <v>43952</v>
          </cell>
          <cell r="K178" t="str">
            <v>정규직</v>
          </cell>
          <cell r="L178" t="str">
            <v>사무직</v>
          </cell>
          <cell r="M178" t="str">
            <v>퇴직</v>
          </cell>
          <cell r="N178" t="str">
            <v>760202-1058113</v>
          </cell>
          <cell r="O178">
            <v>27792</v>
          </cell>
          <cell r="P178" t="str">
            <v>남</v>
          </cell>
          <cell r="Q178">
            <v>50</v>
          </cell>
          <cell r="R178">
            <v>49</v>
          </cell>
          <cell r="S178" t="str">
            <v>010-4365-8942</v>
          </cell>
          <cell r="T178" t="str">
            <v>서울특별시 중랑구 사가정로 71길 19, 용마한신아파트 1동 1003호</v>
          </cell>
          <cell r="U178" t="str">
            <v>jwkim@neurophet.com</v>
          </cell>
        </row>
        <row r="179">
          <cell r="A179">
            <v>176</v>
          </cell>
          <cell r="B179">
            <v>23041701</v>
          </cell>
          <cell r="C179" t="str">
            <v>송준수</v>
          </cell>
          <cell r="D179" t="str">
            <v>비즈니스본부</v>
          </cell>
          <cell r="E179" t="str">
            <v>SE팀</v>
          </cell>
          <cell r="F179" t="str">
            <v>SE</v>
          </cell>
          <cell r="G179" t="str">
            <v>Member</v>
          </cell>
          <cell r="H179" t="str">
            <v>멤버</v>
          </cell>
          <cell r="I179">
            <v>45033</v>
          </cell>
          <cell r="J179">
            <v>45124</v>
          </cell>
          <cell r="K179" t="str">
            <v>정규직</v>
          </cell>
          <cell r="L179" t="str">
            <v>사무직</v>
          </cell>
          <cell r="M179" t="str">
            <v>퇴직</v>
          </cell>
          <cell r="N179" t="str">
            <v>970816-1178811</v>
          </cell>
          <cell r="O179">
            <v>35658</v>
          </cell>
          <cell r="P179" t="str">
            <v>남</v>
          </cell>
          <cell r="Q179">
            <v>29</v>
          </cell>
          <cell r="R179">
            <v>27</v>
          </cell>
          <cell r="S179" t="str">
            <v>010-6471-4306</v>
          </cell>
          <cell r="T179" t="str">
            <v>경기도 안양시 동안구 귀인로 79번길 12, 호계2동 (LD범계아파트 101동 1004호)</v>
          </cell>
          <cell r="U179" t="str">
            <v>junsu@neurophet.com</v>
          </cell>
        </row>
        <row r="180">
          <cell r="A180">
            <v>177</v>
          </cell>
          <cell r="B180">
            <v>23112701</v>
          </cell>
          <cell r="C180" t="str">
            <v>윤소영</v>
          </cell>
          <cell r="D180" t="str">
            <v>연구본부</v>
          </cell>
          <cell r="E180" t="str">
            <v>임상팀</v>
          </cell>
          <cell r="F180" t="str">
            <v>임상시험연구</v>
          </cell>
          <cell r="G180" t="str">
            <v>Member</v>
          </cell>
          <cell r="H180" t="str">
            <v>멤버</v>
          </cell>
          <cell r="I180">
            <v>45257</v>
          </cell>
          <cell r="J180">
            <v>45257</v>
          </cell>
          <cell r="K180" t="str">
            <v>정규직</v>
          </cell>
          <cell r="L180" t="str">
            <v>연구직</v>
          </cell>
          <cell r="M180" t="str">
            <v>퇴직</v>
          </cell>
          <cell r="N180" t="str">
            <v>921121-2125115</v>
          </cell>
          <cell r="O180">
            <v>33929</v>
          </cell>
          <cell r="P180" t="str">
            <v>여</v>
          </cell>
          <cell r="Q180">
            <v>34</v>
          </cell>
          <cell r="R180">
            <v>32</v>
          </cell>
          <cell r="S180" t="str">
            <v>010-8804-4087</v>
          </cell>
          <cell r="T180" t="str">
            <v>서울특별시 금천구 독산로 99길 8, 편안한가 302호</v>
          </cell>
          <cell r="U180" t="str">
            <v>ysy1@neurophet.com</v>
          </cell>
        </row>
        <row r="181">
          <cell r="A181">
            <v>178</v>
          </cell>
          <cell r="B181">
            <v>21110101</v>
          </cell>
          <cell r="C181" t="str">
            <v>이상엽</v>
          </cell>
          <cell r="D181" t="str">
            <v>비즈니스본부</v>
          </cell>
          <cell r="E181" t="str">
            <v>세일즈팀</v>
          </cell>
          <cell r="F181" t="str">
            <v>영업</v>
          </cell>
          <cell r="G181" t="str">
            <v>Member</v>
          </cell>
          <cell r="H181" t="str">
            <v>멤버</v>
          </cell>
          <cell r="I181">
            <v>44501</v>
          </cell>
          <cell r="J181">
            <v>44501</v>
          </cell>
          <cell r="K181" t="str">
            <v>정규직</v>
          </cell>
          <cell r="L181" t="str">
            <v>사무직</v>
          </cell>
          <cell r="M181" t="str">
            <v>퇴직</v>
          </cell>
          <cell r="N181" t="str">
            <v>851115-1041517</v>
          </cell>
          <cell r="O181">
            <v>31366</v>
          </cell>
          <cell r="P181" t="str">
            <v>남</v>
          </cell>
          <cell r="Q181">
            <v>41</v>
          </cell>
          <cell r="R181">
            <v>39</v>
          </cell>
          <cell r="S181" t="str">
            <v>010-2094-2143</v>
          </cell>
          <cell r="T181" t="str">
            <v>서울특별시 영등포구 선유로 9길 30 문래동 롯데캐슬 103동 806호</v>
          </cell>
          <cell r="U181" t="str">
            <v>sylee@neurophet.com</v>
          </cell>
        </row>
        <row r="182">
          <cell r="A182">
            <v>179</v>
          </cell>
          <cell r="B182">
            <v>23090402</v>
          </cell>
          <cell r="C182" t="str">
            <v>배진아</v>
          </cell>
          <cell r="D182" t="str">
            <v>연구본부</v>
          </cell>
          <cell r="E182" t="str">
            <v>TechOps팀</v>
          </cell>
          <cell r="F182" t="str">
            <v>레이블링</v>
          </cell>
          <cell r="G182" t="str">
            <v>Temporary</v>
          </cell>
          <cell r="H182" t="str">
            <v>계약직</v>
          </cell>
          <cell r="I182">
            <v>45173</v>
          </cell>
          <cell r="J182">
            <v>45173</v>
          </cell>
          <cell r="K182" t="str">
            <v>계약직</v>
          </cell>
          <cell r="L182" t="str">
            <v>사무직</v>
          </cell>
          <cell r="M182" t="str">
            <v>퇴직</v>
          </cell>
          <cell r="N182" t="str">
            <v>820116-2523011</v>
          </cell>
          <cell r="O182">
            <v>29967</v>
          </cell>
          <cell r="P182" t="str">
            <v>여</v>
          </cell>
          <cell r="Q182">
            <v>44</v>
          </cell>
          <cell r="R182">
            <v>43</v>
          </cell>
          <cell r="S182" t="str">
            <v>010-8914-3339</v>
          </cell>
          <cell r="T182" t="str">
            <v>경기도 화성시 수영로 81번길 4 신창비바패밀리아파트 203동 1202호</v>
          </cell>
          <cell r="U182" t="str">
            <v>jabae@neurophet.com</v>
          </cell>
        </row>
        <row r="183">
          <cell r="A183">
            <v>180</v>
          </cell>
          <cell r="B183">
            <v>20121401</v>
          </cell>
          <cell r="C183" t="str">
            <v>강지민</v>
          </cell>
          <cell r="D183" t="str">
            <v>연구본부</v>
          </cell>
          <cell r="E183" t="str">
            <v>AR1팀</v>
          </cell>
          <cell r="F183" t="str">
            <v>신경망</v>
          </cell>
          <cell r="G183" t="str">
            <v>Member</v>
          </cell>
          <cell r="H183" t="str">
            <v>멤버</v>
          </cell>
          <cell r="I183">
            <v>44179</v>
          </cell>
          <cell r="J183">
            <v>44179</v>
          </cell>
          <cell r="K183" t="str">
            <v>정규직</v>
          </cell>
          <cell r="L183" t="str">
            <v>연구직</v>
          </cell>
          <cell r="M183" t="str">
            <v>퇴직</v>
          </cell>
          <cell r="N183" t="str">
            <v>021127-4010518</v>
          </cell>
          <cell r="O183">
            <v>37587</v>
          </cell>
          <cell r="P183" t="str">
            <v>여</v>
          </cell>
          <cell r="Q183">
            <v>24</v>
          </cell>
          <cell r="R183">
            <v>22</v>
          </cell>
          <cell r="S183" t="str">
            <v>010-2432-6109</v>
          </cell>
          <cell r="T183" t="str">
            <v xml:space="preserve">서울특별시 동대문구 사가정로23길 20(장안동, 주함해븐빌 5동 401호)    </v>
          </cell>
          <cell r="U183" t="str">
            <v>jiminkang@neurophet.com</v>
          </cell>
        </row>
        <row r="184">
          <cell r="A184">
            <v>181</v>
          </cell>
          <cell r="B184">
            <v>23120101</v>
          </cell>
          <cell r="C184" t="str">
            <v>장주현</v>
          </cell>
          <cell r="D184" t="str">
            <v>연구본부</v>
          </cell>
          <cell r="E184" t="str">
            <v>TechOps팀</v>
          </cell>
          <cell r="F184" t="str">
            <v>데이터검수</v>
          </cell>
          <cell r="G184" t="str">
            <v>Temporary</v>
          </cell>
          <cell r="H184" t="str">
            <v>계약직</v>
          </cell>
          <cell r="I184">
            <v>45261</v>
          </cell>
          <cell r="J184">
            <v>45261</v>
          </cell>
          <cell r="K184" t="str">
            <v>계약직</v>
          </cell>
          <cell r="L184" t="str">
            <v>사무직</v>
          </cell>
          <cell r="M184" t="str">
            <v>퇴직</v>
          </cell>
          <cell r="N184" t="str">
            <v>881122-2231211</v>
          </cell>
          <cell r="O184">
            <v>32469</v>
          </cell>
          <cell r="P184" t="str">
            <v>여</v>
          </cell>
          <cell r="Q184">
            <v>38</v>
          </cell>
          <cell r="R184">
            <v>36</v>
          </cell>
          <cell r="S184" t="str">
            <v>010-9524-2634</v>
          </cell>
          <cell r="T184" t="str">
            <v>서울특별시 강남구 자곡로202 1035호</v>
          </cell>
          <cell r="U184" t="str">
            <v>juhyun@neurophet.com</v>
          </cell>
        </row>
        <row r="185">
          <cell r="A185">
            <v>182</v>
          </cell>
          <cell r="B185">
            <v>20032501</v>
          </cell>
          <cell r="C185" t="str">
            <v>이종승A</v>
          </cell>
          <cell r="D185" t="str">
            <v>경영본부</v>
          </cell>
          <cell r="E185" t="str">
            <v>경영본부</v>
          </cell>
          <cell r="F185" t="str">
            <v>경영총괄</v>
          </cell>
          <cell r="G185" t="str">
            <v>COO</v>
          </cell>
          <cell r="H185" t="str">
            <v>C-LEVEL</v>
          </cell>
          <cell r="I185">
            <v>43915</v>
          </cell>
          <cell r="J185">
            <v>43915</v>
          </cell>
          <cell r="K185" t="str">
            <v>정규직</v>
          </cell>
          <cell r="L185" t="str">
            <v>임원</v>
          </cell>
          <cell r="M185" t="str">
            <v>퇴직</v>
          </cell>
          <cell r="N185" t="str">
            <v>761003-1397711</v>
          </cell>
          <cell r="O185">
            <v>28036</v>
          </cell>
          <cell r="P185" t="str">
            <v>남</v>
          </cell>
          <cell r="Q185">
            <v>50</v>
          </cell>
          <cell r="R185">
            <v>48</v>
          </cell>
          <cell r="S185" t="str">
            <v>010-9061-9841</v>
          </cell>
          <cell r="T185" t="str">
            <v>경기도 남양주시 늘을3로 7, 1101동 203호(호평동, 호평마을 현대 I-PARK)</v>
          </cell>
          <cell r="U185" t="str">
            <v>jslee@neurophet.com</v>
          </cell>
        </row>
        <row r="186">
          <cell r="A186">
            <v>183</v>
          </cell>
          <cell r="B186">
            <v>22010302</v>
          </cell>
          <cell r="C186" t="str">
            <v>차인태</v>
          </cell>
          <cell r="D186" t="str">
            <v>경영본부</v>
          </cell>
          <cell r="E186" t="str">
            <v>커뮤니케이션팀</v>
          </cell>
          <cell r="F186" t="str">
            <v>홍보</v>
          </cell>
          <cell r="G186" t="str">
            <v>Director</v>
          </cell>
          <cell r="H186" t="str">
            <v>팀리드</v>
          </cell>
          <cell r="I186">
            <v>44564</v>
          </cell>
          <cell r="J186">
            <v>44564</v>
          </cell>
          <cell r="K186" t="str">
            <v>정규직</v>
          </cell>
          <cell r="L186" t="str">
            <v>사무직</v>
          </cell>
          <cell r="M186" t="str">
            <v>퇴직</v>
          </cell>
          <cell r="N186" t="str">
            <v>850207-1150922</v>
          </cell>
          <cell r="O186">
            <v>31085</v>
          </cell>
          <cell r="P186" t="str">
            <v>남</v>
          </cell>
          <cell r="Q186">
            <v>41</v>
          </cell>
          <cell r="R186">
            <v>40</v>
          </cell>
          <cell r="S186" t="str">
            <v>010-5117-3311</v>
          </cell>
          <cell r="T186" t="str">
            <v>경기도 용인시 수지구 태봉로 17, 402동 102호</v>
          </cell>
          <cell r="U186" t="str">
            <v>itcha@neurophet.com</v>
          </cell>
        </row>
        <row r="187">
          <cell r="A187">
            <v>184</v>
          </cell>
          <cell r="B187">
            <v>22020701</v>
          </cell>
          <cell r="C187" t="str">
            <v>임철.</v>
          </cell>
          <cell r="D187" t="str">
            <v>프로덕트본부</v>
          </cell>
          <cell r="E187" t="str">
            <v>PMO실</v>
          </cell>
          <cell r="F187" t="str">
            <v>PMO</v>
          </cell>
          <cell r="G187" t="str">
            <v>Director</v>
          </cell>
          <cell r="H187" t="str">
            <v>실리드</v>
          </cell>
          <cell r="I187">
            <v>44599</v>
          </cell>
          <cell r="J187">
            <v>44599</v>
          </cell>
          <cell r="K187" t="str">
            <v>정규직</v>
          </cell>
          <cell r="L187" t="str">
            <v>연구직</v>
          </cell>
          <cell r="M187" t="str">
            <v>퇴직</v>
          </cell>
          <cell r="N187" t="str">
            <v>751017-1648811</v>
          </cell>
          <cell r="O187">
            <v>27684</v>
          </cell>
          <cell r="P187" t="str">
            <v>남</v>
          </cell>
          <cell r="Q187">
            <v>51</v>
          </cell>
          <cell r="R187">
            <v>49</v>
          </cell>
          <cell r="S187" t="str">
            <v>010-3335-7292</v>
          </cell>
          <cell r="T187" t="str">
            <v>인천광역시 연수구 송도문화로 28번길 81 108동 604호</v>
          </cell>
          <cell r="U187" t="str">
            <v>clim@neurophet.com</v>
          </cell>
        </row>
        <row r="188">
          <cell r="A188">
            <v>185</v>
          </cell>
          <cell r="B188">
            <v>23103002</v>
          </cell>
          <cell r="C188" t="str">
            <v>주연정</v>
          </cell>
          <cell r="D188" t="str">
            <v>연구본부</v>
          </cell>
          <cell r="E188" t="str">
            <v>TechOps팀</v>
          </cell>
          <cell r="F188" t="str">
            <v>레이블링</v>
          </cell>
          <cell r="G188" t="str">
            <v>Temporary</v>
          </cell>
          <cell r="H188" t="str">
            <v>계약직</v>
          </cell>
          <cell r="I188">
            <v>45229</v>
          </cell>
          <cell r="J188">
            <v>45229</v>
          </cell>
          <cell r="K188" t="str">
            <v>계약직</v>
          </cell>
          <cell r="L188" t="str">
            <v>사무직</v>
          </cell>
          <cell r="M188" t="str">
            <v>퇴직</v>
          </cell>
          <cell r="N188" t="str">
            <v>951206-2267516</v>
          </cell>
          <cell r="O188">
            <v>35039</v>
          </cell>
          <cell r="P188" t="str">
            <v>여</v>
          </cell>
          <cell r="Q188">
            <v>31</v>
          </cell>
          <cell r="R188">
            <v>29</v>
          </cell>
          <cell r="S188" t="str">
            <v>010-7651-4222</v>
          </cell>
          <cell r="T188" t="str">
            <v>강원특별자치도 원주시 남원로606번길 22, 301동 1001호</v>
          </cell>
          <cell r="U188" t="str">
            <v>yeonjeong@neurophet.com</v>
          </cell>
        </row>
        <row r="189">
          <cell r="A189">
            <v>186</v>
          </cell>
          <cell r="B189">
            <v>21052401</v>
          </cell>
          <cell r="C189" t="str">
            <v>이종승B</v>
          </cell>
          <cell r="D189" t="str">
            <v>연구본부</v>
          </cell>
          <cell r="E189" t="str">
            <v>NE팀</v>
          </cell>
          <cell r="F189" t="str">
            <v>Planning</v>
          </cell>
          <cell r="G189" t="str">
            <v>Lead</v>
          </cell>
          <cell r="H189" t="str">
            <v>팀리드</v>
          </cell>
          <cell r="I189">
            <v>44340</v>
          </cell>
          <cell r="J189">
            <v>44340</v>
          </cell>
          <cell r="K189" t="str">
            <v>정규직</v>
          </cell>
          <cell r="L189" t="str">
            <v>연구직</v>
          </cell>
          <cell r="M189" t="str">
            <v>퇴직</v>
          </cell>
          <cell r="N189" t="str">
            <v>800125-1010613</v>
          </cell>
          <cell r="O189">
            <v>29166</v>
          </cell>
          <cell r="P189" t="str">
            <v>남</v>
          </cell>
          <cell r="Q189">
            <v>47</v>
          </cell>
          <cell r="R189">
            <v>45</v>
          </cell>
          <cell r="S189" t="str">
            <v>010-4118-3489</v>
          </cell>
          <cell r="T189" t="str">
            <v>서울특별시 용산구 한강대로43길 8 104동 301호</v>
          </cell>
          <cell r="U189" t="str">
            <v>jonseunlee@neurophet.com</v>
          </cell>
        </row>
        <row r="190">
          <cell r="A190">
            <v>187</v>
          </cell>
          <cell r="B190">
            <v>23120401</v>
          </cell>
          <cell r="C190" t="str">
            <v>이상수</v>
          </cell>
          <cell r="D190" t="str">
            <v>비즈니스본부</v>
          </cell>
          <cell r="E190" t="str">
            <v>세일즈팀</v>
          </cell>
          <cell r="F190" t="str">
            <v>영업</v>
          </cell>
          <cell r="G190" t="str">
            <v>Member</v>
          </cell>
          <cell r="H190" t="str">
            <v>멤버</v>
          </cell>
          <cell r="I190">
            <v>45264</v>
          </cell>
          <cell r="J190">
            <v>45264</v>
          </cell>
          <cell r="K190" t="str">
            <v>정규직</v>
          </cell>
          <cell r="L190" t="str">
            <v>사무직</v>
          </cell>
          <cell r="M190" t="str">
            <v>퇴직</v>
          </cell>
          <cell r="N190" t="str">
            <v>871117-1894410</v>
          </cell>
          <cell r="O190">
            <v>32098</v>
          </cell>
          <cell r="P190" t="str">
            <v>남</v>
          </cell>
          <cell r="Q190">
            <v>39</v>
          </cell>
          <cell r="R190">
            <v>37</v>
          </cell>
          <cell r="S190" t="str">
            <v>010-8230-8711</v>
          </cell>
          <cell r="T190" t="str">
            <v>서울특별시 송파구 위례송파로 89, 1503동 204호(포레샤인15단지)</v>
          </cell>
          <cell r="U190" t="str">
            <v>leess@neurophet.com</v>
          </cell>
        </row>
        <row r="191">
          <cell r="A191">
            <v>188</v>
          </cell>
          <cell r="B191">
            <v>23072001</v>
          </cell>
          <cell r="C191" t="str">
            <v>백연수</v>
          </cell>
          <cell r="D191" t="str">
            <v>프로덕트본부</v>
          </cell>
          <cell r="E191" t="str">
            <v>MWA팀</v>
          </cell>
          <cell r="F191" t="str">
            <v>웹 프론트엔드 개발</v>
          </cell>
          <cell r="G191" t="str">
            <v>Temporary</v>
          </cell>
          <cell r="H191" t="str">
            <v>계약직</v>
          </cell>
          <cell r="I191">
            <v>45127</v>
          </cell>
          <cell r="J191">
            <v>45127</v>
          </cell>
          <cell r="K191" t="str">
            <v>계약직</v>
          </cell>
          <cell r="L191" t="str">
            <v>사무직</v>
          </cell>
          <cell r="M191" t="str">
            <v>퇴직</v>
          </cell>
          <cell r="N191" t="str">
            <v>000825-4409939</v>
          </cell>
          <cell r="O191">
            <v>36763</v>
          </cell>
          <cell r="P191" t="str">
            <v>여</v>
          </cell>
          <cell r="Q191">
            <v>26</v>
          </cell>
          <cell r="R191">
            <v>24</v>
          </cell>
          <cell r="S191" t="str">
            <v>010-5174-5053</v>
          </cell>
          <cell r="T191" t="str">
            <v>경기도 수원시 장안구 창훈로 30 107동 403호</v>
          </cell>
          <cell r="U191" t="str">
            <v>yeonsu@neurophet.com</v>
          </cell>
        </row>
        <row r="192">
          <cell r="A192">
            <v>189</v>
          </cell>
          <cell r="B192">
            <v>23103001</v>
          </cell>
          <cell r="C192" t="str">
            <v>김보경</v>
          </cell>
          <cell r="D192" t="str">
            <v>연구본부</v>
          </cell>
          <cell r="E192" t="str">
            <v>TechOps팀</v>
          </cell>
          <cell r="F192" t="str">
            <v>레이블링</v>
          </cell>
          <cell r="G192" t="str">
            <v>Temporary</v>
          </cell>
          <cell r="H192" t="str">
            <v>계약직</v>
          </cell>
          <cell r="I192">
            <v>45229</v>
          </cell>
          <cell r="J192">
            <v>45229</v>
          </cell>
          <cell r="K192" t="str">
            <v>계약직</v>
          </cell>
          <cell r="L192" t="str">
            <v>사무직</v>
          </cell>
          <cell r="M192" t="str">
            <v>퇴직</v>
          </cell>
          <cell r="N192" t="str">
            <v>951018-2951021</v>
          </cell>
          <cell r="O192">
            <v>34990</v>
          </cell>
          <cell r="P192" t="str">
            <v>여</v>
          </cell>
          <cell r="Q192">
            <v>31</v>
          </cell>
          <cell r="R192">
            <v>29</v>
          </cell>
          <cell r="S192" t="str">
            <v>010-9348-2861</v>
          </cell>
          <cell r="T192" t="str">
            <v>강원특별자치도 원주시 버들만이길 16, 201호</v>
          </cell>
          <cell r="U192" t="str">
            <v>bokyung@neurophet.com</v>
          </cell>
        </row>
        <row r="193">
          <cell r="A193">
            <v>190</v>
          </cell>
          <cell r="B193">
            <v>23032701</v>
          </cell>
          <cell r="C193" t="str">
            <v>조세딘</v>
          </cell>
          <cell r="D193" t="str">
            <v>연구본부</v>
          </cell>
          <cell r="E193" t="str">
            <v>임상연구팀</v>
          </cell>
          <cell r="F193" t="str">
            <v>임상시험연구</v>
          </cell>
          <cell r="G193" t="str">
            <v>Member</v>
          </cell>
          <cell r="H193" t="str">
            <v>멤버</v>
          </cell>
          <cell r="I193">
            <v>45012</v>
          </cell>
          <cell r="J193">
            <v>45012</v>
          </cell>
          <cell r="K193" t="str">
            <v>정규직</v>
          </cell>
          <cell r="L193" t="str">
            <v>연구직</v>
          </cell>
          <cell r="M193" t="str">
            <v>퇴직</v>
          </cell>
          <cell r="N193" t="str">
            <v>950504-6200025</v>
          </cell>
          <cell r="O193">
            <v>34823</v>
          </cell>
          <cell r="P193" t="str">
            <v>여</v>
          </cell>
          <cell r="Q193">
            <v>31</v>
          </cell>
          <cell r="R193">
            <v>29</v>
          </cell>
          <cell r="S193" t="str">
            <v>010-5893-2570</v>
          </cell>
          <cell r="T193" t="str">
            <v xml:space="preserve">서울특별시 성북구 안암동 2가 94-27 지하 B호 </v>
          </cell>
          <cell r="U193" t="str">
            <v>jhosedyn@neurophet.com</v>
          </cell>
        </row>
        <row r="194">
          <cell r="A194">
            <v>191</v>
          </cell>
          <cell r="B194">
            <v>23102301</v>
          </cell>
          <cell r="C194" t="str">
            <v>손조은</v>
          </cell>
          <cell r="D194" t="str">
            <v>프로덕트본부</v>
          </cell>
          <cell r="E194" t="str">
            <v>QA팀</v>
          </cell>
          <cell r="F194" t="str">
            <v>QA</v>
          </cell>
          <cell r="G194" t="str">
            <v>Member</v>
          </cell>
          <cell r="H194" t="str">
            <v>멤버</v>
          </cell>
          <cell r="I194">
            <v>45222</v>
          </cell>
          <cell r="J194">
            <v>45222</v>
          </cell>
          <cell r="K194" t="str">
            <v>정규직</v>
          </cell>
          <cell r="L194" t="str">
            <v>연구직</v>
          </cell>
          <cell r="M194" t="str">
            <v>퇴직</v>
          </cell>
          <cell r="N194" t="str">
            <v>890414-1059129</v>
          </cell>
          <cell r="O194">
            <v>32612</v>
          </cell>
          <cell r="P194" t="str">
            <v>남</v>
          </cell>
          <cell r="Q194">
            <v>37</v>
          </cell>
          <cell r="R194">
            <v>35</v>
          </cell>
          <cell r="S194" t="str">
            <v>010-3249-8250</v>
          </cell>
          <cell r="T194" t="str">
            <v>경기도 부천시 양지남로68번길 25 203동 204호</v>
          </cell>
          <cell r="U194" t="str">
            <v>je.son@neurophet.com</v>
          </cell>
        </row>
        <row r="195">
          <cell r="A195">
            <v>192</v>
          </cell>
          <cell r="B195">
            <v>21072602</v>
          </cell>
          <cell r="C195" t="str">
            <v>윤신혜</v>
          </cell>
          <cell r="D195" t="str">
            <v>프로덕트본부</v>
          </cell>
          <cell r="E195" t="str">
            <v>PMO실</v>
          </cell>
          <cell r="F195" t="str">
            <v>보안</v>
          </cell>
          <cell r="G195" t="str">
            <v>Member</v>
          </cell>
          <cell r="H195" t="str">
            <v>멤버</v>
          </cell>
          <cell r="I195">
            <v>44403</v>
          </cell>
          <cell r="J195">
            <v>44403</v>
          </cell>
          <cell r="K195" t="str">
            <v>정규직</v>
          </cell>
          <cell r="L195" t="str">
            <v>연구직</v>
          </cell>
          <cell r="M195" t="str">
            <v>퇴직</v>
          </cell>
          <cell r="N195" t="str">
            <v>950612-2012414</v>
          </cell>
          <cell r="O195">
            <v>34862</v>
          </cell>
          <cell r="P195" t="str">
            <v>여</v>
          </cell>
          <cell r="Q195">
            <v>31</v>
          </cell>
          <cell r="R195">
            <v>29</v>
          </cell>
          <cell r="S195" t="str">
            <v>010-3015-3623</v>
          </cell>
          <cell r="T195" t="str">
            <v>서울특별시 관악구 조원로 12길 8, 301호</v>
          </cell>
          <cell r="U195" t="str">
            <v>shinhye@neurophet.com</v>
          </cell>
        </row>
        <row r="196">
          <cell r="A196">
            <v>193</v>
          </cell>
          <cell r="B196">
            <v>23061201</v>
          </cell>
          <cell r="C196" t="str">
            <v>노해명</v>
          </cell>
          <cell r="D196" t="str">
            <v>연구본부</v>
          </cell>
          <cell r="E196" t="str">
            <v>임상연구팀</v>
          </cell>
          <cell r="F196" t="str">
            <v>임상시험 모니터링</v>
          </cell>
          <cell r="G196" t="str">
            <v>Temporary</v>
          </cell>
          <cell r="H196" t="str">
            <v>계약직</v>
          </cell>
          <cell r="I196">
            <v>45089</v>
          </cell>
          <cell r="J196">
            <v>45089</v>
          </cell>
          <cell r="K196" t="str">
            <v>계약직</v>
          </cell>
          <cell r="L196" t="str">
            <v>사무직</v>
          </cell>
          <cell r="M196" t="str">
            <v>퇴직</v>
          </cell>
          <cell r="N196" t="str">
            <v>920225-1067710</v>
          </cell>
          <cell r="O196">
            <v>33659</v>
          </cell>
          <cell r="P196" t="str">
            <v>남</v>
          </cell>
          <cell r="Q196">
            <v>34</v>
          </cell>
          <cell r="R196">
            <v>33</v>
          </cell>
          <cell r="S196" t="str">
            <v>010-2246-7700</v>
          </cell>
          <cell r="T196" t="str">
            <v>서울특별시 영등포구 도영로 16 A동 618호</v>
          </cell>
          <cell r="U196" t="str">
            <v>haemyoung@neurophet.com</v>
          </cell>
        </row>
        <row r="197">
          <cell r="A197">
            <v>194</v>
          </cell>
          <cell r="B197">
            <v>19012101</v>
          </cell>
          <cell r="C197" t="str">
            <v>유보름</v>
          </cell>
          <cell r="D197" t="str">
            <v>프로덕트본부</v>
          </cell>
          <cell r="E197" t="str">
            <v>RA팀</v>
          </cell>
          <cell r="F197" t="str">
            <v>RA</v>
          </cell>
          <cell r="G197" t="str">
            <v>Lead</v>
          </cell>
          <cell r="H197" t="str">
            <v>팀리드</v>
          </cell>
          <cell r="I197">
            <v>43486</v>
          </cell>
          <cell r="J197">
            <v>43486</v>
          </cell>
          <cell r="K197" t="str">
            <v>정규직</v>
          </cell>
          <cell r="L197" t="str">
            <v>연구직</v>
          </cell>
          <cell r="M197" t="str">
            <v>퇴직</v>
          </cell>
          <cell r="N197" t="str">
            <v>910922-2205429</v>
          </cell>
          <cell r="O197">
            <v>33503</v>
          </cell>
          <cell r="P197" t="str">
            <v>여</v>
          </cell>
          <cell r="Q197">
            <v>35</v>
          </cell>
          <cell r="R197">
            <v>33</v>
          </cell>
          <cell r="S197" t="str">
            <v>010-3135-8424</v>
          </cell>
          <cell r="T197" t="str">
            <v>서울특별시 동작구 국사봉1길 54-7 201호</v>
          </cell>
          <cell r="U197" t="str">
            <v>bryoo@neurophet.com</v>
          </cell>
        </row>
        <row r="198">
          <cell r="A198">
            <v>195</v>
          </cell>
          <cell r="B198">
            <v>21030802</v>
          </cell>
          <cell r="C198" t="str">
            <v>한성희</v>
          </cell>
          <cell r="D198" t="str">
            <v>비즈니스본부</v>
          </cell>
          <cell r="E198" t="str">
            <v>세일즈팀</v>
          </cell>
          <cell r="F198" t="str">
            <v>영업</v>
          </cell>
          <cell r="G198" t="str">
            <v>Lead</v>
          </cell>
          <cell r="H198" t="str">
            <v>팀리드</v>
          </cell>
          <cell r="I198">
            <v>44263</v>
          </cell>
          <cell r="J198">
            <v>44263</v>
          </cell>
          <cell r="K198" t="str">
            <v>정규직</v>
          </cell>
          <cell r="L198" t="str">
            <v>사무직</v>
          </cell>
          <cell r="M198" t="str">
            <v>퇴직</v>
          </cell>
          <cell r="N198" t="str">
            <v>820902-1167711</v>
          </cell>
          <cell r="O198">
            <v>30196</v>
          </cell>
          <cell r="P198" t="str">
            <v>남</v>
          </cell>
          <cell r="Q198">
            <v>44</v>
          </cell>
          <cell r="R198">
            <v>42</v>
          </cell>
          <cell r="S198" t="str">
            <v>010-2230-2052</v>
          </cell>
          <cell r="T198" t="str">
            <v>경기도 오산시 수청로 79-12, 302호</v>
          </cell>
          <cell r="U198" t="str">
            <v>shhan@neurophet.com</v>
          </cell>
        </row>
        <row r="199">
          <cell r="A199">
            <v>196</v>
          </cell>
          <cell r="B199">
            <v>23041001</v>
          </cell>
          <cell r="C199" t="str">
            <v>김의석</v>
          </cell>
          <cell r="D199" t="str">
            <v>연구본부</v>
          </cell>
          <cell r="E199" t="str">
            <v>TechOps팀</v>
          </cell>
          <cell r="F199" t="str">
            <v>데이터검수</v>
          </cell>
          <cell r="G199" t="str">
            <v>Temporary</v>
          </cell>
          <cell r="H199" t="str">
            <v>계약직</v>
          </cell>
          <cell r="I199">
            <v>45026</v>
          </cell>
          <cell r="J199">
            <v>45026</v>
          </cell>
          <cell r="K199" t="str">
            <v>계약직</v>
          </cell>
          <cell r="L199" t="str">
            <v>사무직</v>
          </cell>
          <cell r="M199" t="str">
            <v>퇴직</v>
          </cell>
          <cell r="N199" t="str">
            <v>940701-1020623</v>
          </cell>
          <cell r="O199">
            <v>34516</v>
          </cell>
          <cell r="P199" t="str">
            <v>남</v>
          </cell>
          <cell r="Q199">
            <v>32</v>
          </cell>
          <cell r="R199">
            <v>30</v>
          </cell>
          <cell r="S199" t="str">
            <v>010-7603-6351</v>
          </cell>
          <cell r="T199" t="str">
            <v>경기도 양주시 옥정동로 4길 더 파크포레 태영 2028동 2202호</v>
          </cell>
          <cell r="U199" t="str">
            <v>uiseok@neurophet.com</v>
          </cell>
        </row>
        <row r="200">
          <cell r="A200">
            <v>197</v>
          </cell>
          <cell r="B200">
            <v>23012502</v>
          </cell>
          <cell r="C200" t="str">
            <v>최효준</v>
          </cell>
          <cell r="D200" t="str">
            <v>연구본부</v>
          </cell>
          <cell r="E200" t="str">
            <v>연구기획팀</v>
          </cell>
          <cell r="F200" t="str">
            <v>정부과제</v>
          </cell>
          <cell r="G200" t="str">
            <v>Member</v>
          </cell>
          <cell r="H200" t="str">
            <v>멤버</v>
          </cell>
          <cell r="I200">
            <v>44951</v>
          </cell>
          <cell r="J200">
            <v>44951</v>
          </cell>
          <cell r="K200" t="str">
            <v>정규직</v>
          </cell>
          <cell r="L200" t="str">
            <v>사무직</v>
          </cell>
          <cell r="M200" t="str">
            <v>퇴직</v>
          </cell>
          <cell r="N200" t="str">
            <v>830428-1081318</v>
          </cell>
          <cell r="O200">
            <v>30434</v>
          </cell>
          <cell r="P200" t="str">
            <v>남</v>
          </cell>
          <cell r="Q200">
            <v>43</v>
          </cell>
          <cell r="R200">
            <v>41</v>
          </cell>
          <cell r="S200" t="str">
            <v>010-8304-9922</v>
          </cell>
          <cell r="T200" t="str">
            <v>서울특별시 양천구 중앙로 29길 61 신정뉴타운롯데캐슬 108동 1004호</v>
          </cell>
          <cell r="U200" t="str">
            <v>hyo@neurophet.com</v>
          </cell>
        </row>
        <row r="201">
          <cell r="A201">
            <v>198</v>
          </cell>
          <cell r="B201">
            <v>23011602</v>
          </cell>
          <cell r="C201" t="str">
            <v>이정호</v>
          </cell>
          <cell r="D201" t="str">
            <v>연구본부</v>
          </cell>
          <cell r="E201" t="str">
            <v>TechOps팀</v>
          </cell>
          <cell r="F201" t="str">
            <v>데이터검수</v>
          </cell>
          <cell r="G201" t="str">
            <v>Temporary</v>
          </cell>
          <cell r="H201" t="str">
            <v>계약직</v>
          </cell>
          <cell r="I201">
            <v>44942</v>
          </cell>
          <cell r="J201">
            <v>44942</v>
          </cell>
          <cell r="K201" t="str">
            <v>계약직</v>
          </cell>
          <cell r="L201" t="str">
            <v>사무직</v>
          </cell>
          <cell r="M201" t="str">
            <v>퇴직</v>
          </cell>
          <cell r="N201" t="str">
            <v>980523-1203627</v>
          </cell>
          <cell r="O201">
            <v>35938</v>
          </cell>
          <cell r="P201" t="str">
            <v>남</v>
          </cell>
          <cell r="Q201">
            <v>28</v>
          </cell>
          <cell r="R201">
            <v>26</v>
          </cell>
          <cell r="S201" t="str">
            <v>010-5067-8854</v>
          </cell>
          <cell r="T201" t="str">
            <v>경기도 남양주시 화도읍 녹촌리 녹촌두산위브아파트 101-204</v>
          </cell>
          <cell r="U201" t="str">
            <v>jungho@neurophet.com</v>
          </cell>
        </row>
        <row r="202">
          <cell r="A202">
            <v>199</v>
          </cell>
          <cell r="B202">
            <v>23040303</v>
          </cell>
          <cell r="C202" t="str">
            <v>김연화</v>
          </cell>
          <cell r="D202" t="str">
            <v>연구본부</v>
          </cell>
          <cell r="E202" t="str">
            <v>TechOps팀</v>
          </cell>
          <cell r="F202" t="str">
            <v>데이터검수</v>
          </cell>
          <cell r="G202" t="str">
            <v>Temporary</v>
          </cell>
          <cell r="H202" t="str">
            <v>계약직</v>
          </cell>
          <cell r="I202">
            <v>45019</v>
          </cell>
          <cell r="J202">
            <v>45019</v>
          </cell>
          <cell r="K202" t="str">
            <v>계약직</v>
          </cell>
          <cell r="L202" t="str">
            <v>사무직</v>
          </cell>
          <cell r="M202" t="str">
            <v>퇴직</v>
          </cell>
          <cell r="N202" t="str">
            <v>001110-4163112</v>
          </cell>
          <cell r="O202">
            <v>36840</v>
          </cell>
          <cell r="P202" t="str">
            <v>여</v>
          </cell>
          <cell r="Q202">
            <v>26</v>
          </cell>
          <cell r="R202">
            <v>24</v>
          </cell>
          <cell r="S202" t="str">
            <v>010-8509-9124</v>
          </cell>
          <cell r="T202" t="str">
            <v>경기도 수원시 권선구 덕영대로1323번길 26-31 221동 902호</v>
          </cell>
          <cell r="U202" t="str">
            <v>yeonhwa@neurophet.com</v>
          </cell>
        </row>
        <row r="203">
          <cell r="A203">
            <v>200</v>
          </cell>
          <cell r="B203">
            <v>23041002</v>
          </cell>
          <cell r="C203" t="str">
            <v>이민해</v>
          </cell>
          <cell r="D203" t="str">
            <v>연구본부</v>
          </cell>
          <cell r="E203" t="str">
            <v>TechOps팀</v>
          </cell>
          <cell r="F203" t="str">
            <v>데이터검수</v>
          </cell>
          <cell r="G203" t="str">
            <v>Temporary</v>
          </cell>
          <cell r="H203" t="str">
            <v>계약직</v>
          </cell>
          <cell r="I203">
            <v>45026</v>
          </cell>
          <cell r="J203">
            <v>45026</v>
          </cell>
          <cell r="K203" t="str">
            <v>계약직</v>
          </cell>
          <cell r="L203" t="str">
            <v>사무직</v>
          </cell>
          <cell r="M203" t="str">
            <v>퇴직</v>
          </cell>
          <cell r="N203" t="str">
            <v>980510-1017812</v>
          </cell>
          <cell r="O203">
            <v>35925</v>
          </cell>
          <cell r="P203" t="str">
            <v>남</v>
          </cell>
          <cell r="Q203">
            <v>28</v>
          </cell>
          <cell r="R203">
            <v>26</v>
          </cell>
          <cell r="S203" t="str">
            <v>010-4040-5782</v>
          </cell>
          <cell r="T203" t="str">
            <v>경기도 성남시 남문로 86번길 18-2 302호 (영흥빌라)</v>
          </cell>
          <cell r="U203" t="str">
            <v>minhae@neurophet.com</v>
          </cell>
        </row>
        <row r="204">
          <cell r="A204">
            <v>201</v>
          </cell>
          <cell r="B204">
            <v>23041201</v>
          </cell>
          <cell r="C204" t="str">
            <v>정진환</v>
          </cell>
          <cell r="D204" t="str">
            <v>연구본부</v>
          </cell>
          <cell r="E204" t="str">
            <v>TechOps팀</v>
          </cell>
          <cell r="F204" t="str">
            <v>데이터검수</v>
          </cell>
          <cell r="G204" t="str">
            <v>Temporary</v>
          </cell>
          <cell r="H204" t="str">
            <v>계약직</v>
          </cell>
          <cell r="I204">
            <v>45028</v>
          </cell>
          <cell r="J204">
            <v>45028</v>
          </cell>
          <cell r="K204" t="str">
            <v>계약직</v>
          </cell>
          <cell r="L204" t="str">
            <v>사무직</v>
          </cell>
          <cell r="M204" t="str">
            <v>퇴직</v>
          </cell>
          <cell r="N204" t="str">
            <v>960101-1074513</v>
          </cell>
          <cell r="O204">
            <v>35065</v>
          </cell>
          <cell r="P204" t="str">
            <v>남</v>
          </cell>
          <cell r="Q204">
            <v>30</v>
          </cell>
          <cell r="R204">
            <v>29</v>
          </cell>
          <cell r="S204" t="str">
            <v>010-2500-1223</v>
          </cell>
          <cell r="T204" t="str">
            <v>서울특별시 서초구 잠원로 14길 32 103동 301호</v>
          </cell>
          <cell r="U204" t="str">
            <v>jinhwan@neurophet.com</v>
          </cell>
        </row>
        <row r="205">
          <cell r="A205">
            <v>202</v>
          </cell>
          <cell r="B205">
            <v>20030107</v>
          </cell>
          <cell r="C205" t="str">
            <v>용정현</v>
          </cell>
          <cell r="D205" t="str">
            <v>연구본부</v>
          </cell>
          <cell r="E205" t="str">
            <v>TechOps팀</v>
          </cell>
          <cell r="F205" t="str">
            <v>데이터검수</v>
          </cell>
          <cell r="G205" t="str">
            <v>Lead</v>
          </cell>
          <cell r="H205" t="str">
            <v>팀리드</v>
          </cell>
          <cell r="I205">
            <v>43891</v>
          </cell>
          <cell r="J205">
            <v>43891</v>
          </cell>
          <cell r="K205" t="str">
            <v>정규직</v>
          </cell>
          <cell r="L205" t="str">
            <v>연구직</v>
          </cell>
          <cell r="M205" t="str">
            <v>퇴직</v>
          </cell>
          <cell r="N205" t="str">
            <v>940721-1047112</v>
          </cell>
          <cell r="O205">
            <v>34536</v>
          </cell>
          <cell r="P205" t="str">
            <v>남</v>
          </cell>
          <cell r="Q205">
            <v>32</v>
          </cell>
          <cell r="R205">
            <v>30</v>
          </cell>
          <cell r="S205" t="str">
            <v>010-2274-5871</v>
          </cell>
          <cell r="T205" t="str">
            <v>서울특별시 강남구 삼성로69길 41, 102호</v>
          </cell>
          <cell r="U205" t="str">
            <v>yong@neurophet.com</v>
          </cell>
        </row>
        <row r="206">
          <cell r="A206">
            <v>203</v>
          </cell>
          <cell r="B206">
            <v>21083003</v>
          </cell>
          <cell r="C206" t="str">
            <v>정유진</v>
          </cell>
          <cell r="D206" t="str">
            <v>연구본부</v>
          </cell>
          <cell r="E206" t="str">
            <v>TechOps팀</v>
          </cell>
          <cell r="F206" t="str">
            <v>데이터&amp;레이블링</v>
          </cell>
          <cell r="G206" t="str">
            <v>Member</v>
          </cell>
          <cell r="H206" t="str">
            <v>멤버</v>
          </cell>
          <cell r="I206">
            <v>44560</v>
          </cell>
          <cell r="J206">
            <v>44560</v>
          </cell>
          <cell r="K206" t="str">
            <v>정규직</v>
          </cell>
          <cell r="L206" t="str">
            <v>연구직</v>
          </cell>
          <cell r="M206" t="str">
            <v>퇴직</v>
          </cell>
          <cell r="N206" t="str">
            <v>991229-2249610</v>
          </cell>
          <cell r="O206">
            <v>36523</v>
          </cell>
          <cell r="P206" t="str">
            <v>여</v>
          </cell>
          <cell r="Q206">
            <v>27</v>
          </cell>
          <cell r="R206">
            <v>25</v>
          </cell>
          <cell r="S206" t="str">
            <v>010-4551-3995</v>
          </cell>
          <cell r="T206" t="str">
            <v>경기도 용인시 기흥구 신정로25 신흥덕롯데캐슬레이시티 104동402호</v>
          </cell>
          <cell r="U206" t="str">
            <v>yujin@neurophet.com</v>
          </cell>
        </row>
        <row r="207">
          <cell r="A207">
            <v>204</v>
          </cell>
          <cell r="B207">
            <v>23030202</v>
          </cell>
          <cell r="C207" t="str">
            <v>박상진</v>
          </cell>
          <cell r="D207" t="str">
            <v>연구본부</v>
          </cell>
          <cell r="E207" t="str">
            <v>TechOps팀</v>
          </cell>
          <cell r="F207" t="str">
            <v>데이터검수</v>
          </cell>
          <cell r="G207" t="str">
            <v>Temporary</v>
          </cell>
          <cell r="H207" t="str">
            <v>계약직</v>
          </cell>
          <cell r="I207">
            <v>44987</v>
          </cell>
          <cell r="J207">
            <v>44987</v>
          </cell>
          <cell r="K207" t="str">
            <v>계약직</v>
          </cell>
          <cell r="L207" t="str">
            <v>사무직</v>
          </cell>
          <cell r="M207" t="str">
            <v>퇴직</v>
          </cell>
          <cell r="N207" t="str">
            <v>990610-1249113</v>
          </cell>
          <cell r="O207">
            <v>36321</v>
          </cell>
          <cell r="P207" t="str">
            <v>남</v>
          </cell>
          <cell r="Q207">
            <v>27</v>
          </cell>
          <cell r="R207">
            <v>25</v>
          </cell>
          <cell r="S207" t="str">
            <v>010-6713-0786</v>
          </cell>
          <cell r="T207" t="str">
            <v>경기도 용인시 처인구 금학로225, 102동 302호</v>
          </cell>
          <cell r="U207" t="str">
            <v>sangjin.park@neurophet.com</v>
          </cell>
        </row>
        <row r="208">
          <cell r="A208">
            <v>205</v>
          </cell>
          <cell r="B208">
            <v>23040301</v>
          </cell>
          <cell r="C208" t="str">
            <v>김하진.</v>
          </cell>
          <cell r="D208" t="str">
            <v>연구본부</v>
          </cell>
          <cell r="E208" t="str">
            <v>TechOps팀</v>
          </cell>
          <cell r="F208" t="str">
            <v>데이터검수</v>
          </cell>
          <cell r="G208" t="str">
            <v>Temporary</v>
          </cell>
          <cell r="H208" t="str">
            <v>계약직</v>
          </cell>
          <cell r="I208">
            <v>45019</v>
          </cell>
          <cell r="J208">
            <v>45019</v>
          </cell>
          <cell r="K208" t="str">
            <v>계약직</v>
          </cell>
          <cell r="L208" t="str">
            <v>사무직</v>
          </cell>
          <cell r="M208" t="str">
            <v>퇴직</v>
          </cell>
          <cell r="N208" t="str">
            <v>970405-2822919</v>
          </cell>
          <cell r="O208">
            <v>35525</v>
          </cell>
          <cell r="P208" t="str">
            <v>여</v>
          </cell>
          <cell r="Q208">
            <v>29</v>
          </cell>
          <cell r="R208">
            <v>27</v>
          </cell>
          <cell r="S208" t="str">
            <v>010-5597-0405</v>
          </cell>
          <cell r="T208" t="str">
            <v>서울특별시 중랑구 공릉로2길 8-4, 710호</v>
          </cell>
          <cell r="U208" t="str">
            <v>hajin@neurophet.com</v>
          </cell>
        </row>
        <row r="209">
          <cell r="A209">
            <v>206</v>
          </cell>
          <cell r="B209">
            <v>21022202</v>
          </cell>
          <cell r="C209" t="str">
            <v>이종수</v>
          </cell>
          <cell r="D209" t="str">
            <v>연구본부</v>
          </cell>
          <cell r="E209" t="str">
            <v>TechOps팀</v>
          </cell>
          <cell r="F209" t="str">
            <v>레이블링</v>
          </cell>
          <cell r="G209" t="str">
            <v>Member</v>
          </cell>
          <cell r="H209" t="str">
            <v>멤버</v>
          </cell>
          <cell r="I209">
            <v>44249</v>
          </cell>
          <cell r="J209">
            <v>44389</v>
          </cell>
          <cell r="K209" t="str">
            <v>정규직</v>
          </cell>
          <cell r="L209" t="str">
            <v>연구직</v>
          </cell>
          <cell r="M209" t="str">
            <v>퇴직</v>
          </cell>
          <cell r="N209" t="str">
            <v>940311-1178419</v>
          </cell>
          <cell r="O209">
            <v>34404</v>
          </cell>
          <cell r="P209" t="str">
            <v>남</v>
          </cell>
          <cell r="Q209">
            <v>32</v>
          </cell>
          <cell r="R209">
            <v>31</v>
          </cell>
          <cell r="S209" t="str">
            <v>010-3632-9026</v>
          </cell>
          <cell r="T209" t="str">
            <v>경기도 안양시 만안구 박달로 498번길 28 우성아파트 107동 801호</v>
          </cell>
          <cell r="U209" t="str">
            <v>jongsoo@neurophet.com</v>
          </cell>
        </row>
        <row r="210">
          <cell r="A210">
            <v>207</v>
          </cell>
          <cell r="B210">
            <v>23010101</v>
          </cell>
          <cell r="C210" t="str">
            <v>남기윤</v>
          </cell>
          <cell r="D210" t="str">
            <v>비즈니스본부</v>
          </cell>
          <cell r="E210" t="str">
            <v>SE팀</v>
          </cell>
          <cell r="F210" t="str">
            <v>SE</v>
          </cell>
          <cell r="G210" t="str">
            <v>Member</v>
          </cell>
          <cell r="H210" t="str">
            <v>멤버</v>
          </cell>
          <cell r="I210">
            <v>44927</v>
          </cell>
          <cell r="J210">
            <v>44927</v>
          </cell>
          <cell r="K210" t="str">
            <v>정규직</v>
          </cell>
          <cell r="L210" t="str">
            <v>사무직</v>
          </cell>
          <cell r="M210" t="str">
            <v>퇴직</v>
          </cell>
          <cell r="N210" t="str">
            <v>970830-1194314</v>
          </cell>
          <cell r="O210">
            <v>35672</v>
          </cell>
          <cell r="P210" t="str">
            <v>남</v>
          </cell>
          <cell r="Q210">
            <v>29</v>
          </cell>
          <cell r="R210">
            <v>27</v>
          </cell>
          <cell r="S210" t="str">
            <v>010-3300-7065</v>
          </cell>
          <cell r="T210" t="str">
            <v>경기도 군포시 엘에스로 143(힐스테이트 금정역)</v>
          </cell>
          <cell r="U210" t="str">
            <v>kiyun@neurophet.com</v>
          </cell>
        </row>
        <row r="211">
          <cell r="A211">
            <v>208</v>
          </cell>
          <cell r="B211">
            <v>22032102</v>
          </cell>
          <cell r="C211" t="str">
            <v>유지영</v>
          </cell>
          <cell r="D211" t="str">
            <v>연구본부</v>
          </cell>
          <cell r="E211" t="str">
            <v>TechOps팀</v>
          </cell>
          <cell r="F211" t="str">
            <v>데이터검수</v>
          </cell>
          <cell r="G211" t="str">
            <v>Temporary</v>
          </cell>
          <cell r="H211" t="str">
            <v>계약직</v>
          </cell>
          <cell r="I211">
            <v>44896</v>
          </cell>
          <cell r="J211">
            <v>44896</v>
          </cell>
          <cell r="K211" t="str">
            <v>계약직</v>
          </cell>
          <cell r="L211" t="str">
            <v>사무직</v>
          </cell>
          <cell r="M211" t="str">
            <v>퇴직</v>
          </cell>
          <cell r="N211" t="str">
            <v>961017-2051125</v>
          </cell>
          <cell r="O211">
            <v>35355</v>
          </cell>
          <cell r="P211" t="str">
            <v>여</v>
          </cell>
          <cell r="Q211">
            <v>30</v>
          </cell>
          <cell r="R211">
            <v>28</v>
          </cell>
          <cell r="S211" t="str">
            <v>010-2734-2881</v>
          </cell>
          <cell r="T211" t="str">
            <v>서울특별시 은평구 진흥로 84-1 태경쉐르빌 501호</v>
          </cell>
          <cell r="U211" t="str">
            <v>jiyeong.yoo@neurophet.com</v>
          </cell>
        </row>
        <row r="212">
          <cell r="A212">
            <v>209</v>
          </cell>
          <cell r="B212">
            <v>23010201</v>
          </cell>
          <cell r="C212" t="str">
            <v>고건호</v>
          </cell>
          <cell r="D212" t="str">
            <v>연구본부</v>
          </cell>
          <cell r="E212" t="str">
            <v>TechOps팀</v>
          </cell>
          <cell r="F212" t="str">
            <v>데이터검수</v>
          </cell>
          <cell r="G212" t="str">
            <v>Temporary</v>
          </cell>
          <cell r="H212" t="str">
            <v>계약직</v>
          </cell>
          <cell r="I212">
            <v>44928</v>
          </cell>
          <cell r="J212">
            <v>44928</v>
          </cell>
          <cell r="K212" t="str">
            <v>계약직</v>
          </cell>
          <cell r="L212" t="str">
            <v>사무직</v>
          </cell>
          <cell r="M212" t="str">
            <v>퇴직</v>
          </cell>
          <cell r="N212" t="str">
            <v>970125-1058314</v>
          </cell>
          <cell r="O212">
            <v>35455</v>
          </cell>
          <cell r="P212" t="str">
            <v>남</v>
          </cell>
          <cell r="Q212">
            <v>29</v>
          </cell>
          <cell r="R212">
            <v>28</v>
          </cell>
          <cell r="S212" t="str">
            <v>010-8325-4957</v>
          </cell>
          <cell r="T212" t="str">
            <v>경기도 시흥시 정왕신길로 49번길 26, 111동 803호</v>
          </cell>
          <cell r="U212" t="str">
            <v>ghko@neurophet.com</v>
          </cell>
        </row>
        <row r="213">
          <cell r="A213">
            <v>210</v>
          </cell>
          <cell r="B213">
            <v>23010902</v>
          </cell>
          <cell r="C213" t="str">
            <v>강지현</v>
          </cell>
          <cell r="D213" t="str">
            <v>연구본부</v>
          </cell>
          <cell r="E213" t="str">
            <v>TechOps팀</v>
          </cell>
          <cell r="F213" t="str">
            <v>데이터검수</v>
          </cell>
          <cell r="G213" t="str">
            <v>Temporary</v>
          </cell>
          <cell r="H213" t="str">
            <v>계약직</v>
          </cell>
          <cell r="I213">
            <v>44935</v>
          </cell>
          <cell r="J213">
            <v>44935</v>
          </cell>
          <cell r="K213" t="str">
            <v>계약직</v>
          </cell>
          <cell r="L213" t="str">
            <v>사무직</v>
          </cell>
          <cell r="M213" t="str">
            <v>퇴직</v>
          </cell>
          <cell r="N213" t="str">
            <v>951209-2401614</v>
          </cell>
          <cell r="O213">
            <v>35042</v>
          </cell>
          <cell r="P213" t="str">
            <v>여</v>
          </cell>
          <cell r="Q213">
            <v>31</v>
          </cell>
          <cell r="R213">
            <v>29</v>
          </cell>
          <cell r="S213" t="str">
            <v>010-9167-5627</v>
          </cell>
          <cell r="T213" t="str">
            <v>서울특별시 강동구 올림픽로 92길 13 704호</v>
          </cell>
          <cell r="U213" t="str">
            <v>jihyun.kang@neurophet.com</v>
          </cell>
        </row>
        <row r="214">
          <cell r="A214">
            <v>211</v>
          </cell>
          <cell r="B214">
            <v>23032001</v>
          </cell>
          <cell r="C214" t="str">
            <v>윤지현</v>
          </cell>
          <cell r="D214" t="str">
            <v>연구본부</v>
          </cell>
          <cell r="E214" t="str">
            <v>TechOps팀</v>
          </cell>
          <cell r="F214" t="str">
            <v>데이터검수</v>
          </cell>
          <cell r="G214" t="str">
            <v>Temporary</v>
          </cell>
          <cell r="H214" t="str">
            <v>계약직</v>
          </cell>
          <cell r="I214">
            <v>45005</v>
          </cell>
          <cell r="J214">
            <v>45005</v>
          </cell>
          <cell r="K214" t="str">
            <v>계약직</v>
          </cell>
          <cell r="L214" t="str">
            <v>사무직</v>
          </cell>
          <cell r="M214" t="str">
            <v>퇴직</v>
          </cell>
          <cell r="N214" t="str">
            <v>010513-4850119</v>
          </cell>
          <cell r="O214">
            <v>37024</v>
          </cell>
          <cell r="P214" t="str">
            <v>여</v>
          </cell>
          <cell r="Q214">
            <v>25</v>
          </cell>
          <cell r="R214">
            <v>23</v>
          </cell>
          <cell r="S214" t="str">
            <v>010-9073-1288</v>
          </cell>
          <cell r="T214" t="str">
            <v>서울특별시 성북구 고려대로 22길 25, 더반하우스 S7호</v>
          </cell>
          <cell r="U214" t="str">
            <v>yjh@neurophet.com</v>
          </cell>
        </row>
        <row r="215">
          <cell r="A215">
            <v>212</v>
          </cell>
          <cell r="B215">
            <v>22030203</v>
          </cell>
          <cell r="C215" t="str">
            <v>조은영</v>
          </cell>
          <cell r="D215" t="str">
            <v>연구본부</v>
          </cell>
          <cell r="E215" t="str">
            <v>연구기획팀</v>
          </cell>
          <cell r="F215" t="str">
            <v>연구소행정</v>
          </cell>
          <cell r="G215" t="str">
            <v>Member</v>
          </cell>
          <cell r="H215" t="str">
            <v>멤버</v>
          </cell>
          <cell r="I215">
            <v>44622</v>
          </cell>
          <cell r="J215">
            <v>44713</v>
          </cell>
          <cell r="K215" t="str">
            <v>정규직</v>
          </cell>
          <cell r="L215" t="str">
            <v>연구직</v>
          </cell>
          <cell r="M215" t="str">
            <v>퇴직</v>
          </cell>
          <cell r="N215" t="str">
            <v>970421-2157719</v>
          </cell>
          <cell r="O215">
            <v>35541</v>
          </cell>
          <cell r="P215" t="str">
            <v>여</v>
          </cell>
          <cell r="Q215">
            <v>29</v>
          </cell>
          <cell r="R215">
            <v>27</v>
          </cell>
          <cell r="S215" t="str">
            <v>010-4912-6155</v>
          </cell>
          <cell r="T215" t="str">
            <v>경기도 부천시 옥산로 16, 1410동 103호</v>
          </cell>
          <cell r="U215" t="str">
            <v>eyjo@neurophet.com</v>
          </cell>
        </row>
        <row r="216">
          <cell r="A216">
            <v>213</v>
          </cell>
          <cell r="B216">
            <v>23041003</v>
          </cell>
          <cell r="C216" t="str">
            <v>최지연</v>
          </cell>
          <cell r="D216" t="str">
            <v>연구본부</v>
          </cell>
          <cell r="E216" t="str">
            <v>TechOps팀</v>
          </cell>
          <cell r="F216" t="str">
            <v>데이터검수</v>
          </cell>
          <cell r="G216" t="str">
            <v>Temporary</v>
          </cell>
          <cell r="H216" t="str">
            <v>계약직</v>
          </cell>
          <cell r="I216">
            <v>45026</v>
          </cell>
          <cell r="J216">
            <v>45026</v>
          </cell>
          <cell r="K216" t="str">
            <v>계약직</v>
          </cell>
          <cell r="L216" t="str">
            <v>사무직</v>
          </cell>
          <cell r="M216" t="str">
            <v>퇴직</v>
          </cell>
          <cell r="N216" t="str">
            <v>010108-4179216</v>
          </cell>
          <cell r="O216">
            <v>36899</v>
          </cell>
          <cell r="P216" t="str">
            <v>여</v>
          </cell>
          <cell r="Q216">
            <v>25</v>
          </cell>
          <cell r="R216">
            <v>24</v>
          </cell>
          <cell r="S216" t="str">
            <v>010-4049-7506</v>
          </cell>
          <cell r="T216" t="str">
            <v>경기도 안양시 동안구 관악대로 263번길 50-4 202호</v>
          </cell>
          <cell r="U216" t="str">
            <v>choijiyeon@neurophet.com</v>
          </cell>
        </row>
        <row r="217">
          <cell r="A217">
            <v>214</v>
          </cell>
          <cell r="B217">
            <v>23040302</v>
          </cell>
          <cell r="C217" t="str">
            <v>김가희B</v>
          </cell>
          <cell r="D217" t="str">
            <v>연구본부</v>
          </cell>
          <cell r="E217" t="str">
            <v>TechOps팀</v>
          </cell>
          <cell r="F217" t="str">
            <v>데이터검수</v>
          </cell>
          <cell r="G217" t="str">
            <v>Temporary</v>
          </cell>
          <cell r="H217" t="str">
            <v>계약직</v>
          </cell>
          <cell r="I217">
            <v>45019</v>
          </cell>
          <cell r="J217">
            <v>45019</v>
          </cell>
          <cell r="K217" t="str">
            <v>계약직</v>
          </cell>
          <cell r="L217" t="str">
            <v>사무직</v>
          </cell>
          <cell r="M217" t="str">
            <v>퇴직</v>
          </cell>
          <cell r="N217" t="str">
            <v>990213-2179721</v>
          </cell>
          <cell r="O217">
            <v>36204</v>
          </cell>
          <cell r="P217" t="str">
            <v>여</v>
          </cell>
          <cell r="Q217">
            <v>27</v>
          </cell>
          <cell r="R217">
            <v>26</v>
          </cell>
          <cell r="S217" t="str">
            <v>010-4621-4087</v>
          </cell>
          <cell r="T217" t="str">
            <v>경기도 의왕시 오전로 150, 102동 101호</v>
          </cell>
          <cell r="U217" t="str">
            <v>kimkahee@neurophet.com</v>
          </cell>
        </row>
        <row r="218">
          <cell r="A218">
            <v>215</v>
          </cell>
          <cell r="B218">
            <v>21091302</v>
          </cell>
          <cell r="C218" t="str">
            <v>강주미</v>
          </cell>
          <cell r="D218" t="str">
            <v>비즈니스본부</v>
          </cell>
          <cell r="E218" t="str">
            <v>마케팅팀</v>
          </cell>
          <cell r="F218" t="str">
            <v>Admin</v>
          </cell>
          <cell r="G218" t="str">
            <v>Member</v>
          </cell>
          <cell r="H218" t="str">
            <v>멤버</v>
          </cell>
          <cell r="I218">
            <v>44452</v>
          </cell>
          <cell r="J218">
            <v>44452</v>
          </cell>
          <cell r="K218" t="str">
            <v>정규직</v>
          </cell>
          <cell r="L218" t="str">
            <v>사무직</v>
          </cell>
          <cell r="M218" t="str">
            <v>퇴직</v>
          </cell>
          <cell r="N218" t="str">
            <v>980706-2412110</v>
          </cell>
          <cell r="O218">
            <v>35982</v>
          </cell>
          <cell r="P218" t="str">
            <v>여</v>
          </cell>
          <cell r="Q218">
            <v>28</v>
          </cell>
          <cell r="R218">
            <v>26</v>
          </cell>
          <cell r="S218" t="str">
            <v>010-6307-1850</v>
          </cell>
          <cell r="T218" t="str">
            <v>서울특별시 관악구 남부순환로 228길 74 세기하이츠빌라 102호</v>
          </cell>
          <cell r="U218" t="str">
            <v>jumikang@neurophet.com</v>
          </cell>
        </row>
        <row r="219">
          <cell r="A219">
            <v>216</v>
          </cell>
          <cell r="B219">
            <v>22101101</v>
          </cell>
          <cell r="C219" t="str">
            <v>임철기</v>
          </cell>
          <cell r="D219" t="str">
            <v>연구본부</v>
          </cell>
          <cell r="E219" t="str">
            <v>NE팀</v>
          </cell>
          <cell r="F219" t="str">
            <v>연구개발</v>
          </cell>
          <cell r="G219" t="str">
            <v>Temporary</v>
          </cell>
          <cell r="H219" t="str">
            <v>계약직</v>
          </cell>
          <cell r="I219">
            <v>44845</v>
          </cell>
          <cell r="J219">
            <v>44845</v>
          </cell>
          <cell r="K219" t="str">
            <v>계약직</v>
          </cell>
          <cell r="L219" t="str">
            <v>사무직</v>
          </cell>
          <cell r="M219" t="str">
            <v>퇴직</v>
          </cell>
          <cell r="N219" t="str">
            <v>930714-1552817</v>
          </cell>
          <cell r="O219">
            <v>34164</v>
          </cell>
          <cell r="P219" t="str">
            <v>남</v>
          </cell>
          <cell r="Q219">
            <v>33</v>
          </cell>
          <cell r="R219">
            <v>31</v>
          </cell>
          <cell r="S219" t="str">
            <v>010-4938-3538</v>
          </cell>
          <cell r="T219" t="str">
            <v>광주광역시 북구 오룡동 기혼자아파트 G동 501호</v>
          </cell>
          <cell r="U219" t="str">
            <v>cheolkiIm@neurophet.com</v>
          </cell>
        </row>
        <row r="220">
          <cell r="A220">
            <v>217</v>
          </cell>
          <cell r="B220">
            <v>23021301</v>
          </cell>
          <cell r="C220" t="str">
            <v>정다성</v>
          </cell>
          <cell r="D220" t="str">
            <v>비즈니스본부</v>
          </cell>
          <cell r="E220" t="str">
            <v>SE팀</v>
          </cell>
          <cell r="F220" t="str">
            <v>SE</v>
          </cell>
          <cell r="G220" t="str">
            <v>Member</v>
          </cell>
          <cell r="H220" t="str">
            <v>멤버</v>
          </cell>
          <cell r="I220">
            <v>44970</v>
          </cell>
          <cell r="J220">
            <v>44970</v>
          </cell>
          <cell r="K220" t="str">
            <v>정규직</v>
          </cell>
          <cell r="L220" t="str">
            <v>사무직</v>
          </cell>
          <cell r="M220" t="str">
            <v>퇴직</v>
          </cell>
          <cell r="N220" t="str">
            <v>891225-1410025</v>
          </cell>
          <cell r="O220">
            <v>32867</v>
          </cell>
          <cell r="P220" t="str">
            <v>남</v>
          </cell>
          <cell r="Q220">
            <v>37</v>
          </cell>
          <cell r="R220">
            <v>35</v>
          </cell>
          <cell r="S220" t="str">
            <v>010-4030-8783</v>
          </cell>
          <cell r="T220" t="str">
            <v>경기도 고양시 덕양구 은빛마을 11단지 1103-103</v>
          </cell>
          <cell r="U220" t="str">
            <v>dasung@neurophet.com</v>
          </cell>
        </row>
        <row r="221">
          <cell r="A221">
            <v>218</v>
          </cell>
          <cell r="B221">
            <v>23010901</v>
          </cell>
          <cell r="C221" t="str">
            <v>이지연B</v>
          </cell>
          <cell r="D221" t="str">
            <v>연구본부</v>
          </cell>
          <cell r="E221" t="str">
            <v>연구기획팀</v>
          </cell>
          <cell r="F221" t="str">
            <v>연구소행정</v>
          </cell>
          <cell r="G221" t="str">
            <v>Member</v>
          </cell>
          <cell r="H221" t="str">
            <v>멤버</v>
          </cell>
          <cell r="I221">
            <v>44928</v>
          </cell>
          <cell r="J221">
            <v>44928</v>
          </cell>
          <cell r="K221" t="str">
            <v>정규직</v>
          </cell>
          <cell r="L221" t="str">
            <v>사무직</v>
          </cell>
          <cell r="M221" t="str">
            <v>퇴직</v>
          </cell>
          <cell r="N221" t="str">
            <v>800325-2081333</v>
          </cell>
          <cell r="O221">
            <v>29305</v>
          </cell>
          <cell r="P221" t="str">
            <v>여</v>
          </cell>
          <cell r="Q221">
            <v>46</v>
          </cell>
          <cell r="R221">
            <v>45</v>
          </cell>
          <cell r="S221" t="str">
            <v>010-5281-5259</v>
          </cell>
          <cell r="T221" t="str">
            <v>서울특별시 강동구 상암로 225 3동 1202호</v>
          </cell>
          <cell r="U221" t="str">
            <v>leejiyeon@neurophet.com</v>
          </cell>
        </row>
        <row r="222">
          <cell r="A222">
            <v>219</v>
          </cell>
          <cell r="B222">
            <v>22080103</v>
          </cell>
          <cell r="C222" t="str">
            <v>정기원1</v>
          </cell>
          <cell r="D222" t="str">
            <v>사업개발본부</v>
          </cell>
          <cell r="E222" t="str">
            <v>사업개발본부</v>
          </cell>
          <cell r="F222" t="str">
            <v>리서치, 운영</v>
          </cell>
          <cell r="G222" t="str">
            <v>Intern</v>
          </cell>
          <cell r="H222" t="str">
            <v>멤버</v>
          </cell>
          <cell r="I222">
            <v>44896</v>
          </cell>
          <cell r="J222">
            <v>44896</v>
          </cell>
          <cell r="K222" t="str">
            <v>계약직</v>
          </cell>
          <cell r="L222" t="str">
            <v>사무직</v>
          </cell>
          <cell r="M222" t="str">
            <v>퇴직</v>
          </cell>
          <cell r="N222" t="str">
            <v>990302-1784019</v>
          </cell>
          <cell r="O222">
            <v>36221</v>
          </cell>
          <cell r="P222" t="str">
            <v>남</v>
          </cell>
          <cell r="Q222">
            <v>27</v>
          </cell>
          <cell r="R222">
            <v>26</v>
          </cell>
          <cell r="S222" t="str">
            <v>010-2379-2893</v>
          </cell>
          <cell r="T222" t="str">
            <v>서울특별시 영등포구 선유로13길 11 문래파라곤 201동 708호</v>
          </cell>
          <cell r="U222" t="str">
            <v>kiwon@neurophet.com</v>
          </cell>
        </row>
        <row r="223">
          <cell r="A223">
            <v>220</v>
          </cell>
          <cell r="B223">
            <v>22070402</v>
          </cell>
          <cell r="C223" t="str">
            <v>우상아1</v>
          </cell>
          <cell r="D223" t="str">
            <v>연구본부</v>
          </cell>
          <cell r="E223" t="str">
            <v>TechOps팀</v>
          </cell>
          <cell r="F223" t="str">
            <v>데이터검수</v>
          </cell>
          <cell r="G223" t="str">
            <v>Temporary</v>
          </cell>
          <cell r="H223" t="str">
            <v>계약직</v>
          </cell>
          <cell r="I223">
            <v>44896</v>
          </cell>
          <cell r="J223">
            <v>44896</v>
          </cell>
          <cell r="K223" t="str">
            <v>계약직</v>
          </cell>
          <cell r="L223" t="str">
            <v>사무직</v>
          </cell>
          <cell r="M223" t="str">
            <v>퇴직</v>
          </cell>
          <cell r="N223" t="str">
            <v>930412-2164011</v>
          </cell>
          <cell r="O223">
            <v>34071</v>
          </cell>
          <cell r="P223" t="str">
            <v>여</v>
          </cell>
          <cell r="Q223">
            <v>33</v>
          </cell>
          <cell r="R223">
            <v>31</v>
          </cell>
          <cell r="S223" t="str">
            <v>010-5721-1370</v>
          </cell>
          <cell r="T223" t="str">
            <v>경기도 수원시 장안구 파장천로66번길 106-9 304호</v>
          </cell>
          <cell r="U223" t="str">
            <v>sangah@neurophet.com</v>
          </cell>
        </row>
        <row r="224">
          <cell r="A224">
            <v>221</v>
          </cell>
          <cell r="B224">
            <v>20020601</v>
          </cell>
          <cell r="C224" t="str">
            <v>나현선</v>
          </cell>
          <cell r="D224" t="str">
            <v>연구본부</v>
          </cell>
          <cell r="E224" t="str">
            <v>연구기획팀</v>
          </cell>
          <cell r="F224" t="str">
            <v>정부과제</v>
          </cell>
          <cell r="G224" t="str">
            <v>Member</v>
          </cell>
          <cell r="H224" t="str">
            <v>멤버</v>
          </cell>
          <cell r="I224">
            <v>43867</v>
          </cell>
          <cell r="J224">
            <v>43867</v>
          </cell>
          <cell r="K224" t="str">
            <v>정규직</v>
          </cell>
          <cell r="L224" t="str">
            <v>사무직</v>
          </cell>
          <cell r="M224" t="str">
            <v>퇴직</v>
          </cell>
          <cell r="N224" t="str">
            <v>821004-1483313</v>
          </cell>
          <cell r="O224">
            <v>30228</v>
          </cell>
          <cell r="P224" t="str">
            <v>남</v>
          </cell>
          <cell r="Q224">
            <v>44</v>
          </cell>
          <cell r="R224">
            <v>42</v>
          </cell>
          <cell r="S224" t="str">
            <v>010-8565-3202</v>
          </cell>
          <cell r="T224" t="str">
            <v>서울특별시 관악구 관천로18길 35, 201호</v>
          </cell>
          <cell r="U224" t="str">
            <v>hs_na@neurophet.com</v>
          </cell>
        </row>
        <row r="225">
          <cell r="A225">
            <v>222</v>
          </cell>
          <cell r="B225">
            <v>20060801</v>
          </cell>
          <cell r="C225" t="str">
            <v>손덕진</v>
          </cell>
          <cell r="D225" t="str">
            <v>연구본부</v>
          </cell>
          <cell r="E225" t="str">
            <v>Neuroengineering</v>
          </cell>
          <cell r="F225" t="str">
            <v>SaaS</v>
          </cell>
          <cell r="G225" t="str">
            <v>Member</v>
          </cell>
          <cell r="H225" t="str">
            <v>멤버</v>
          </cell>
          <cell r="I225">
            <v>43990</v>
          </cell>
          <cell r="J225">
            <v>43990</v>
          </cell>
          <cell r="K225" t="str">
            <v>정규직</v>
          </cell>
          <cell r="L225" t="str">
            <v>연구직</v>
          </cell>
          <cell r="M225" t="str">
            <v>퇴직</v>
          </cell>
          <cell r="N225" t="str">
            <v>731020-1143121</v>
          </cell>
          <cell r="O225">
            <v>26957</v>
          </cell>
          <cell r="P225" t="str">
            <v>남</v>
          </cell>
          <cell r="Q225">
            <v>53</v>
          </cell>
          <cell r="R225">
            <v>51</v>
          </cell>
          <cell r="S225" t="str">
            <v>010-3751-2409</v>
          </cell>
          <cell r="T225" t="str">
            <v xml:space="preserve">인천광역시 계양구 아나지로 213번길 22 101동 2008호(효성동, 풍림아파트)   </v>
          </cell>
          <cell r="U225" t="str">
            <v>djson@neurophet.com</v>
          </cell>
        </row>
        <row r="226">
          <cell r="A226">
            <v>223</v>
          </cell>
          <cell r="B226">
            <v>20121402</v>
          </cell>
          <cell r="C226" t="str">
            <v>이수항</v>
          </cell>
          <cell r="D226" t="str">
            <v>비즈니스본부</v>
          </cell>
          <cell r="E226" t="str">
            <v>SE팀</v>
          </cell>
          <cell r="F226" t="str">
            <v>SE</v>
          </cell>
          <cell r="G226" t="str">
            <v>Member</v>
          </cell>
          <cell r="H226" t="str">
            <v>멤버</v>
          </cell>
          <cell r="I226">
            <v>44179</v>
          </cell>
          <cell r="J226">
            <v>44179</v>
          </cell>
          <cell r="K226" t="str">
            <v>정규직</v>
          </cell>
          <cell r="L226" t="str">
            <v>사무직</v>
          </cell>
          <cell r="M226" t="str">
            <v>퇴직</v>
          </cell>
          <cell r="N226" t="str">
            <v>910521-1066119</v>
          </cell>
          <cell r="O226">
            <v>33379</v>
          </cell>
          <cell r="P226" t="str">
            <v>남</v>
          </cell>
          <cell r="Q226">
            <v>35</v>
          </cell>
          <cell r="R226">
            <v>33</v>
          </cell>
          <cell r="S226" t="str">
            <v>010-3906-2591</v>
          </cell>
          <cell r="T226" t="str">
            <v xml:space="preserve">서울특별시 강서구 화곡본동 61-20 에이스빌 C동 101호    </v>
          </cell>
          <cell r="U226" t="str">
            <v>shlee@neurophet.com</v>
          </cell>
        </row>
        <row r="227">
          <cell r="A227">
            <v>224</v>
          </cell>
          <cell r="B227">
            <v>20021701</v>
          </cell>
          <cell r="C227" t="str">
            <v>박세본</v>
          </cell>
          <cell r="D227" t="str">
            <v>연구본부</v>
          </cell>
          <cell r="E227" t="str">
            <v>AI팀</v>
          </cell>
          <cell r="F227" t="str">
            <v>SaaS</v>
          </cell>
          <cell r="G227" t="str">
            <v>Lead</v>
          </cell>
          <cell r="H227" t="str">
            <v>팀리드</v>
          </cell>
          <cell r="I227">
            <v>43878</v>
          </cell>
          <cell r="J227">
            <v>43878</v>
          </cell>
          <cell r="K227" t="str">
            <v>정규직</v>
          </cell>
          <cell r="L227" t="str">
            <v>연구직</v>
          </cell>
          <cell r="M227" t="str">
            <v>퇴직</v>
          </cell>
          <cell r="N227" t="str">
            <v>851124-2546217</v>
          </cell>
          <cell r="O227">
            <v>31375</v>
          </cell>
          <cell r="P227" t="str">
            <v>여</v>
          </cell>
          <cell r="Q227">
            <v>41</v>
          </cell>
          <cell r="R227">
            <v>39</v>
          </cell>
          <cell r="S227" t="str">
            <v>010-3455-1758</v>
          </cell>
          <cell r="T227" t="str">
            <v>경기도 하남시 미사강변동로 50, 2805동 1301호(망월동, 미사강변 골든 센트로)</v>
          </cell>
          <cell r="U227" t="str">
            <v>sbpark@neurophet.com</v>
          </cell>
        </row>
        <row r="228">
          <cell r="A228">
            <v>225</v>
          </cell>
          <cell r="B228">
            <v>22071102</v>
          </cell>
          <cell r="C228" t="str">
            <v>김관동</v>
          </cell>
          <cell r="D228" t="str">
            <v>연구본부</v>
          </cell>
          <cell r="E228" t="str">
            <v>TechOps팀</v>
          </cell>
          <cell r="F228" t="str">
            <v>데이터검수</v>
          </cell>
          <cell r="G228" t="str">
            <v>Temporary</v>
          </cell>
          <cell r="H228" t="str">
            <v>계약직</v>
          </cell>
          <cell r="I228">
            <v>44753</v>
          </cell>
          <cell r="J228">
            <v>44753</v>
          </cell>
          <cell r="K228" t="str">
            <v>계약직</v>
          </cell>
          <cell r="L228" t="str">
            <v>사무직</v>
          </cell>
          <cell r="M228" t="str">
            <v>퇴직</v>
          </cell>
          <cell r="N228" t="str">
            <v>010525-3183111</v>
          </cell>
          <cell r="O228">
            <v>37036</v>
          </cell>
          <cell r="P228" t="str">
            <v>남</v>
          </cell>
          <cell r="Q228">
            <v>25</v>
          </cell>
          <cell r="R228">
            <v>23</v>
          </cell>
          <cell r="S228" t="str">
            <v>010-2789-4977</v>
          </cell>
          <cell r="T228" t="str">
            <v>서울특별시 구로구 오리로21가길 27, 가동 B01호 (궁동, 미성빌라)</v>
          </cell>
          <cell r="U228" t="str">
            <v>kdkim@neurophet.com</v>
          </cell>
        </row>
        <row r="229">
          <cell r="A229">
            <v>226</v>
          </cell>
          <cell r="B229">
            <v>22080102</v>
          </cell>
          <cell r="C229" t="str">
            <v>정기원2</v>
          </cell>
          <cell r="D229" t="str">
            <v>사업개발본부</v>
          </cell>
          <cell r="E229" t="str">
            <v>사업개발본부</v>
          </cell>
          <cell r="F229" t="str">
            <v>리서치, 운영</v>
          </cell>
          <cell r="G229" t="str">
            <v>Intern</v>
          </cell>
          <cell r="H229" t="str">
            <v>멤버</v>
          </cell>
          <cell r="I229">
            <v>44774</v>
          </cell>
          <cell r="J229">
            <v>44774</v>
          </cell>
          <cell r="K229" t="str">
            <v>계약직</v>
          </cell>
          <cell r="L229" t="str">
            <v>사무직</v>
          </cell>
          <cell r="M229" t="str">
            <v>퇴직</v>
          </cell>
          <cell r="N229" t="str">
            <v>990302-1784019</v>
          </cell>
          <cell r="O229">
            <v>36221</v>
          </cell>
          <cell r="P229" t="str">
            <v>남</v>
          </cell>
          <cell r="Q229">
            <v>27</v>
          </cell>
          <cell r="R229">
            <v>26</v>
          </cell>
          <cell r="S229" t="str">
            <v>010-2379-2893</v>
          </cell>
          <cell r="T229" t="str">
            <v>서울특별시 영등포구 선유로13길 11 문래파라곤 201동 708호</v>
          </cell>
          <cell r="U229" t="str">
            <v>kiwon@neurophet.com</v>
          </cell>
        </row>
        <row r="230">
          <cell r="A230">
            <v>227</v>
          </cell>
          <cell r="B230">
            <v>21020101</v>
          </cell>
          <cell r="C230" t="str">
            <v>손명수</v>
          </cell>
          <cell r="D230" t="str">
            <v>프로덕트본부</v>
          </cell>
          <cell r="E230" t="str">
            <v>Frontend팀</v>
          </cell>
          <cell r="F230" t="str">
            <v>Front_End개발</v>
          </cell>
          <cell r="G230" t="str">
            <v>Member</v>
          </cell>
          <cell r="H230" t="str">
            <v>멤버</v>
          </cell>
          <cell r="I230">
            <v>44228</v>
          </cell>
          <cell r="J230">
            <v>44228</v>
          </cell>
          <cell r="K230" t="str">
            <v>정규직</v>
          </cell>
          <cell r="L230" t="str">
            <v>연구직</v>
          </cell>
          <cell r="M230" t="str">
            <v>퇴직</v>
          </cell>
          <cell r="N230" t="str">
            <v>960830-1167725</v>
          </cell>
          <cell r="O230">
            <v>35307</v>
          </cell>
          <cell r="P230" t="str">
            <v>남</v>
          </cell>
          <cell r="Q230">
            <v>30</v>
          </cell>
          <cell r="R230">
            <v>28</v>
          </cell>
          <cell r="S230" t="str">
            <v>010-6282-3838</v>
          </cell>
          <cell r="T230" t="str">
            <v>경기도 성남시 수정구 남문로 69번길 5-10</v>
          </cell>
          <cell r="U230" t="str">
            <v>msson@neurophet.com</v>
          </cell>
        </row>
        <row r="231">
          <cell r="A231">
            <v>228</v>
          </cell>
          <cell r="B231">
            <v>22020703</v>
          </cell>
          <cell r="C231" t="str">
            <v>백성인</v>
          </cell>
          <cell r="D231" t="str">
            <v>연구본부</v>
          </cell>
          <cell r="E231" t="str">
            <v>임상연구팀</v>
          </cell>
          <cell r="F231" t="str">
            <v>임상시험</v>
          </cell>
          <cell r="G231" t="str">
            <v>Temporary</v>
          </cell>
          <cell r="H231" t="str">
            <v>계약직</v>
          </cell>
          <cell r="I231">
            <v>44599</v>
          </cell>
          <cell r="J231">
            <v>44599</v>
          </cell>
          <cell r="K231" t="str">
            <v>계약직</v>
          </cell>
          <cell r="L231" t="str">
            <v>사무직</v>
          </cell>
          <cell r="M231" t="str">
            <v>퇴직</v>
          </cell>
          <cell r="N231" t="str">
            <v>980410-1524919</v>
          </cell>
          <cell r="O231">
            <v>35895</v>
          </cell>
          <cell r="P231" t="str">
            <v>남</v>
          </cell>
          <cell r="Q231">
            <v>28</v>
          </cell>
          <cell r="R231">
            <v>26</v>
          </cell>
          <cell r="S231" t="str">
            <v>010-2539-4706</v>
          </cell>
          <cell r="T231" t="str">
            <v>서울특별시 은평구 불광로22길 16 (대신리젠츠) 201호</v>
          </cell>
        </row>
        <row r="232">
          <cell r="A232">
            <v>229</v>
          </cell>
          <cell r="B232">
            <v>22070401</v>
          </cell>
          <cell r="C232" t="str">
            <v>우상아</v>
          </cell>
          <cell r="D232" t="str">
            <v>연구본부</v>
          </cell>
          <cell r="E232" t="str">
            <v>TechOps팀</v>
          </cell>
          <cell r="F232" t="str">
            <v>데이터검수</v>
          </cell>
          <cell r="G232" t="str">
            <v>Temporary</v>
          </cell>
          <cell r="H232" t="str">
            <v>계약직</v>
          </cell>
          <cell r="I232">
            <v>44746</v>
          </cell>
          <cell r="J232">
            <v>44746</v>
          </cell>
          <cell r="K232" t="str">
            <v>계약직</v>
          </cell>
          <cell r="L232" t="str">
            <v>사무직</v>
          </cell>
          <cell r="M232" t="str">
            <v>퇴직</v>
          </cell>
          <cell r="N232" t="str">
            <v>930412-2164011</v>
          </cell>
          <cell r="O232">
            <v>34071</v>
          </cell>
          <cell r="P232" t="str">
            <v>여</v>
          </cell>
          <cell r="Q232">
            <v>33</v>
          </cell>
          <cell r="R232">
            <v>31</v>
          </cell>
          <cell r="S232" t="str">
            <v>010-5721-1370</v>
          </cell>
          <cell r="T232" t="str">
            <v>경기도 수원시 장안구 파장천로66번길 106-9 304호</v>
          </cell>
          <cell r="U232" t="str">
            <v>sangah@neurophet.com</v>
          </cell>
        </row>
        <row r="233">
          <cell r="A233">
            <v>230</v>
          </cell>
          <cell r="B233">
            <v>20030102</v>
          </cell>
          <cell r="C233" t="str">
            <v>변종원</v>
          </cell>
          <cell r="D233" t="str">
            <v>프로덕트본부</v>
          </cell>
          <cell r="E233" t="str">
            <v>Backend팀</v>
          </cell>
          <cell r="F233" t="str">
            <v>서버개발</v>
          </cell>
          <cell r="G233" t="str">
            <v>Member</v>
          </cell>
          <cell r="H233" t="str">
            <v>멤버</v>
          </cell>
          <cell r="I233">
            <v>43891</v>
          </cell>
          <cell r="J233">
            <v>43891</v>
          </cell>
          <cell r="K233" t="str">
            <v>정규직</v>
          </cell>
          <cell r="L233" t="str">
            <v>연구직</v>
          </cell>
          <cell r="M233" t="str">
            <v>퇴직</v>
          </cell>
          <cell r="N233" t="str">
            <v>701001-1029429</v>
          </cell>
          <cell r="O233">
            <v>25842</v>
          </cell>
          <cell r="P233" t="str">
            <v>남</v>
          </cell>
          <cell r="Q233">
            <v>56</v>
          </cell>
          <cell r="R233">
            <v>54</v>
          </cell>
          <cell r="S233" t="str">
            <v>010-5040-0011</v>
          </cell>
          <cell r="T233" t="str">
            <v>경기도 고양시 일산동구 중산로 206 (중산동, 중산마을) 704동 403호</v>
          </cell>
          <cell r="U233" t="str">
            <v>martin.byun@neurophet.com</v>
          </cell>
        </row>
        <row r="234">
          <cell r="A234">
            <v>231</v>
          </cell>
          <cell r="B234">
            <v>20070101</v>
          </cell>
          <cell r="C234" t="str">
            <v>이국행</v>
          </cell>
          <cell r="D234" t="str">
            <v>프로덕트본부</v>
          </cell>
          <cell r="E234" t="str">
            <v>Backend팀</v>
          </cell>
          <cell r="F234" t="str">
            <v>서버개발</v>
          </cell>
          <cell r="G234" t="str">
            <v>Member</v>
          </cell>
          <cell r="H234" t="str">
            <v>멤버</v>
          </cell>
          <cell r="I234">
            <v>44013</v>
          </cell>
          <cell r="J234">
            <v>44013</v>
          </cell>
          <cell r="K234" t="str">
            <v>정규직</v>
          </cell>
          <cell r="L234" t="str">
            <v>연구직</v>
          </cell>
          <cell r="M234" t="str">
            <v>퇴직</v>
          </cell>
          <cell r="N234" t="str">
            <v>740925-1654910</v>
          </cell>
          <cell r="O234">
            <v>27297</v>
          </cell>
          <cell r="P234" t="str">
            <v>남</v>
          </cell>
          <cell r="Q234">
            <v>52</v>
          </cell>
          <cell r="R234">
            <v>50</v>
          </cell>
          <cell r="S234" t="str">
            <v>010-5472-5956</v>
          </cell>
          <cell r="T234" t="str">
            <v>서울특별시 강동구 아리수로 50길 50, 102동 302호</v>
          </cell>
          <cell r="U234" t="str">
            <v xml:space="preserve">khlee@neurophet.com      </v>
          </cell>
        </row>
        <row r="235">
          <cell r="A235">
            <v>232</v>
          </cell>
          <cell r="B235">
            <v>20070102</v>
          </cell>
          <cell r="C235" t="str">
            <v>권혜은</v>
          </cell>
          <cell r="D235" t="str">
            <v>프로덕트본부</v>
          </cell>
          <cell r="E235" t="str">
            <v>Backend팀</v>
          </cell>
          <cell r="F235" t="str">
            <v>서버개발</v>
          </cell>
          <cell r="G235" t="str">
            <v>Member</v>
          </cell>
          <cell r="H235" t="str">
            <v>멤버</v>
          </cell>
          <cell r="I235">
            <v>44013</v>
          </cell>
          <cell r="J235">
            <v>44013</v>
          </cell>
          <cell r="K235" t="str">
            <v>정규직</v>
          </cell>
          <cell r="L235" t="str">
            <v>연구직</v>
          </cell>
          <cell r="M235" t="str">
            <v>퇴직</v>
          </cell>
          <cell r="N235" t="str">
            <v>770125-2812415</v>
          </cell>
          <cell r="O235">
            <v>28150</v>
          </cell>
          <cell r="P235" t="str">
            <v>여</v>
          </cell>
          <cell r="Q235">
            <v>49</v>
          </cell>
          <cell r="R235">
            <v>48</v>
          </cell>
          <cell r="S235" t="str">
            <v>010-2012-5023</v>
          </cell>
          <cell r="T235" t="str">
            <v>서울특별시 노원구 섬밭로 123 301-1406</v>
          </cell>
          <cell r="U235" t="str">
            <v xml:space="preserve">hyeeun@neurophet.com      </v>
          </cell>
        </row>
        <row r="236">
          <cell r="A236">
            <v>233</v>
          </cell>
          <cell r="B236">
            <v>21121301</v>
          </cell>
          <cell r="C236" t="str">
            <v>조성자</v>
          </cell>
          <cell r="D236" t="str">
            <v>연구본부</v>
          </cell>
          <cell r="E236" t="str">
            <v>의학팀</v>
          </cell>
          <cell r="F236" t="str">
            <v>Medical Direct</v>
          </cell>
          <cell r="G236" t="str">
            <v>Member</v>
          </cell>
          <cell r="H236" t="str">
            <v>멤버</v>
          </cell>
          <cell r="I236">
            <v>44543</v>
          </cell>
          <cell r="J236">
            <v>44543</v>
          </cell>
          <cell r="K236" t="str">
            <v>정규직</v>
          </cell>
          <cell r="L236" t="str">
            <v>연구직</v>
          </cell>
          <cell r="M236" t="str">
            <v>퇴직</v>
          </cell>
          <cell r="N236" t="str">
            <v>640603-2068715</v>
          </cell>
          <cell r="O236">
            <v>23531</v>
          </cell>
          <cell r="P236" t="str">
            <v>여</v>
          </cell>
          <cell r="Q236">
            <v>62</v>
          </cell>
          <cell r="R236">
            <v>60</v>
          </cell>
          <cell r="S236" t="str">
            <v>010-5311-6804</v>
          </cell>
          <cell r="T236" t="str">
            <v>서울특별시 관악구 관악로 263 관악브라운스톤 102동 302호</v>
          </cell>
          <cell r="U236" t="str">
            <v>sungjacho@neurophet.com</v>
          </cell>
        </row>
        <row r="237">
          <cell r="A237">
            <v>234</v>
          </cell>
          <cell r="B237">
            <v>21090101</v>
          </cell>
          <cell r="C237" t="str">
            <v>변인철</v>
          </cell>
          <cell r="D237" t="str">
            <v>비즈니스본부</v>
          </cell>
          <cell r="E237" t="str">
            <v>세일즈팀</v>
          </cell>
          <cell r="F237" t="str">
            <v>영업</v>
          </cell>
          <cell r="G237" t="str">
            <v>Lead</v>
          </cell>
          <cell r="H237" t="str">
            <v>팀리드</v>
          </cell>
          <cell r="I237">
            <v>44440</v>
          </cell>
          <cell r="J237">
            <v>44440</v>
          </cell>
          <cell r="K237" t="str">
            <v>정규직</v>
          </cell>
          <cell r="L237" t="str">
            <v>사무직</v>
          </cell>
          <cell r="M237" t="str">
            <v>퇴직</v>
          </cell>
          <cell r="N237" t="str">
            <v>830102-1928212</v>
          </cell>
          <cell r="O237">
            <v>30318</v>
          </cell>
          <cell r="P237" t="str">
            <v>남</v>
          </cell>
          <cell r="Q237">
            <v>43</v>
          </cell>
          <cell r="R237">
            <v>42</v>
          </cell>
          <cell r="S237" t="str">
            <v>010-2042-7898</v>
          </cell>
          <cell r="T237" t="str">
            <v>서울특별시 마포구 상암동 월드컵파크4단지 401동402호</v>
          </cell>
          <cell r="U237" t="str">
            <v>icbyun@neurophet.com</v>
          </cell>
        </row>
        <row r="238">
          <cell r="A238">
            <v>235</v>
          </cell>
          <cell r="B238">
            <v>20030104</v>
          </cell>
          <cell r="C238" t="str">
            <v>백선우</v>
          </cell>
          <cell r="D238" t="str">
            <v>비즈니스본부</v>
          </cell>
          <cell r="E238" t="str">
            <v>세일즈팀</v>
          </cell>
          <cell r="F238" t="str">
            <v>영업</v>
          </cell>
          <cell r="G238" t="str">
            <v>Member</v>
          </cell>
          <cell r="H238" t="str">
            <v>멤버</v>
          </cell>
          <cell r="I238">
            <v>43891</v>
          </cell>
          <cell r="J238">
            <v>43891</v>
          </cell>
          <cell r="K238" t="str">
            <v>정규직</v>
          </cell>
          <cell r="L238" t="str">
            <v>사무직</v>
          </cell>
          <cell r="M238" t="str">
            <v>퇴직</v>
          </cell>
          <cell r="N238" t="str">
            <v>820125-1226710</v>
          </cell>
          <cell r="O238">
            <v>29976</v>
          </cell>
          <cell r="P238" t="str">
            <v>남</v>
          </cell>
          <cell r="Q238">
            <v>44</v>
          </cell>
          <cell r="R238">
            <v>43</v>
          </cell>
          <cell r="S238" t="str">
            <v>010-4525-2187</v>
          </cell>
          <cell r="T238" t="str">
            <v>경기도 고양시 일산서구 일산로 488 후곡13단지 1301동 207호</v>
          </cell>
          <cell r="U238" t="str">
            <v>sunwoo.paek@neurophet.com</v>
          </cell>
        </row>
        <row r="239">
          <cell r="A239">
            <v>236</v>
          </cell>
          <cell r="B239">
            <v>21091304</v>
          </cell>
          <cell r="C239" t="str">
            <v>임창대</v>
          </cell>
          <cell r="D239" t="str">
            <v>연구본부</v>
          </cell>
          <cell r="E239" t="str">
            <v>TechOps팀</v>
          </cell>
          <cell r="F239" t="str">
            <v>데이터검수</v>
          </cell>
          <cell r="G239" t="str">
            <v>Temporary</v>
          </cell>
          <cell r="H239" t="str">
            <v>계약직</v>
          </cell>
          <cell r="I239">
            <v>44452</v>
          </cell>
          <cell r="J239">
            <v>44452</v>
          </cell>
          <cell r="K239" t="str">
            <v>계약직</v>
          </cell>
          <cell r="L239" t="str">
            <v>사무직</v>
          </cell>
          <cell r="M239" t="str">
            <v>퇴직</v>
          </cell>
          <cell r="N239" t="str">
            <v>981201-1330919</v>
          </cell>
          <cell r="O239">
            <v>36130</v>
          </cell>
          <cell r="P239" t="str">
            <v>남</v>
          </cell>
          <cell r="Q239">
            <v>28</v>
          </cell>
          <cell r="R239">
            <v>26</v>
          </cell>
          <cell r="S239" t="str">
            <v>010-3191-1146</v>
          </cell>
          <cell r="T239" t="str">
            <v xml:space="preserve">서울특별시 중랑구 면목로80길6 400호(면목동,씨티플러스)    </v>
          </cell>
          <cell r="U239" t="str">
            <v>changdae.yim@neurophet.com</v>
          </cell>
        </row>
        <row r="240">
          <cell r="A240">
            <v>237</v>
          </cell>
          <cell r="B240">
            <v>22032101</v>
          </cell>
          <cell r="C240" t="str">
            <v>유지영</v>
          </cell>
          <cell r="D240" t="str">
            <v>연구본부</v>
          </cell>
          <cell r="E240" t="str">
            <v>TechOps팀</v>
          </cell>
          <cell r="F240" t="str">
            <v>데이터검수</v>
          </cell>
          <cell r="G240" t="str">
            <v>Temporary</v>
          </cell>
          <cell r="H240" t="str">
            <v>계약직</v>
          </cell>
          <cell r="I240">
            <v>44641</v>
          </cell>
          <cell r="J240">
            <v>44641</v>
          </cell>
          <cell r="K240" t="str">
            <v>계약직</v>
          </cell>
          <cell r="L240" t="str">
            <v>사무직</v>
          </cell>
          <cell r="M240" t="str">
            <v>퇴직</v>
          </cell>
          <cell r="N240" t="str">
            <v>961017-2051125</v>
          </cell>
          <cell r="O240">
            <v>35355</v>
          </cell>
          <cell r="P240" t="str">
            <v>여</v>
          </cell>
          <cell r="Q240">
            <v>30</v>
          </cell>
          <cell r="R240">
            <v>28</v>
          </cell>
          <cell r="S240" t="str">
            <v>010-2734-2881</v>
          </cell>
          <cell r="T240" t="str">
            <v>서울특별시 은평구 진흥로 84-1 태경쉐르빌 501호</v>
          </cell>
          <cell r="U240" t="str">
            <v>jiyeong.yoo@neurophet.com</v>
          </cell>
        </row>
        <row r="241">
          <cell r="A241">
            <v>238</v>
          </cell>
          <cell r="B241">
            <v>22040402</v>
          </cell>
          <cell r="C241" t="str">
            <v>전은실</v>
          </cell>
          <cell r="D241" t="str">
            <v>연구본부</v>
          </cell>
          <cell r="E241" t="str">
            <v>TechOps팀</v>
          </cell>
          <cell r="F241" t="str">
            <v>데이터검수</v>
          </cell>
          <cell r="G241" t="str">
            <v>Temporary</v>
          </cell>
          <cell r="H241" t="str">
            <v>계약직</v>
          </cell>
          <cell r="I241">
            <v>44655</v>
          </cell>
          <cell r="J241">
            <v>44655</v>
          </cell>
          <cell r="K241" t="str">
            <v>계약직</v>
          </cell>
          <cell r="L241" t="str">
            <v>사무직</v>
          </cell>
          <cell r="M241" t="str">
            <v>퇴직</v>
          </cell>
          <cell r="N241" t="str">
            <v>980810-2018114</v>
          </cell>
          <cell r="O241">
            <v>36017</v>
          </cell>
          <cell r="P241" t="str">
            <v>여</v>
          </cell>
          <cell r="Q241">
            <v>28</v>
          </cell>
          <cell r="R241">
            <v>26</v>
          </cell>
          <cell r="S241" t="str">
            <v>010-4943-0992</v>
          </cell>
          <cell r="T241" t="str">
            <v>경기도 양주시 삼숭로58번길 141 자이아파트 707동 1203호</v>
          </cell>
          <cell r="U241" t="str">
            <v>eunsil.jeon@neurophet.com</v>
          </cell>
        </row>
        <row r="242">
          <cell r="A242">
            <v>239</v>
          </cell>
          <cell r="B242">
            <v>22041103</v>
          </cell>
          <cell r="C242" t="str">
            <v>이재혁</v>
          </cell>
          <cell r="D242" t="str">
            <v>연구본부</v>
          </cell>
          <cell r="E242" t="str">
            <v>TechOps팀</v>
          </cell>
          <cell r="F242" t="str">
            <v>데이터검수</v>
          </cell>
          <cell r="G242" t="str">
            <v>Temporary</v>
          </cell>
          <cell r="H242" t="str">
            <v>계약직</v>
          </cell>
          <cell r="I242">
            <v>44662</v>
          </cell>
          <cell r="J242">
            <v>44662</v>
          </cell>
          <cell r="K242" t="str">
            <v>계약직</v>
          </cell>
          <cell r="L242" t="str">
            <v>사무직</v>
          </cell>
          <cell r="M242" t="str">
            <v>퇴직</v>
          </cell>
          <cell r="N242" t="str">
            <v>000321-3409913</v>
          </cell>
          <cell r="O242">
            <v>36606</v>
          </cell>
          <cell r="P242" t="str">
            <v>남</v>
          </cell>
          <cell r="Q242">
            <v>26</v>
          </cell>
          <cell r="R242">
            <v>25</v>
          </cell>
          <cell r="S242" t="str">
            <v>010-2950-4757</v>
          </cell>
          <cell r="T242" t="str">
            <v>서울특별시 강동구 양재대로 1706, 8동 1804호</v>
          </cell>
          <cell r="U242" t="str">
            <v>jaehyuk.lee@neurophet.com</v>
          </cell>
        </row>
        <row r="243">
          <cell r="A243">
            <v>240</v>
          </cell>
          <cell r="B243">
            <v>22040401</v>
          </cell>
          <cell r="C243" t="str">
            <v>이준혁</v>
          </cell>
          <cell r="D243" t="str">
            <v>연구본부</v>
          </cell>
          <cell r="E243" t="str">
            <v>TechOps팀</v>
          </cell>
          <cell r="F243" t="str">
            <v>데이터검수</v>
          </cell>
          <cell r="G243" t="str">
            <v>Temporary</v>
          </cell>
          <cell r="H243" t="str">
            <v>계약직</v>
          </cell>
          <cell r="I243">
            <v>44655</v>
          </cell>
          <cell r="J243">
            <v>44655</v>
          </cell>
          <cell r="K243" t="str">
            <v>계약직</v>
          </cell>
          <cell r="L243" t="str">
            <v>사무직</v>
          </cell>
          <cell r="M243" t="str">
            <v>퇴직</v>
          </cell>
          <cell r="N243" t="str">
            <v>980705-1816718</v>
          </cell>
          <cell r="O243">
            <v>35981</v>
          </cell>
          <cell r="P243" t="str">
            <v>남</v>
          </cell>
          <cell r="Q243">
            <v>28</v>
          </cell>
          <cell r="R243">
            <v>26</v>
          </cell>
          <cell r="S243" t="str">
            <v>010-9676-1715</v>
          </cell>
          <cell r="T243" t="str">
            <v>서울특별시 도봉구 도봉로109가길 5 301호</v>
          </cell>
          <cell r="U243" t="str">
            <v>junhyeok.lee@neurophet.com</v>
          </cell>
        </row>
        <row r="244">
          <cell r="A244">
            <v>241</v>
          </cell>
          <cell r="B244">
            <v>21030801</v>
          </cell>
          <cell r="C244" t="str">
            <v>김동영</v>
          </cell>
          <cell r="D244" t="str">
            <v>비즈니스본부</v>
          </cell>
          <cell r="E244" t="str">
            <v>세일즈팀</v>
          </cell>
          <cell r="F244" t="str">
            <v>영업</v>
          </cell>
          <cell r="G244" t="str">
            <v>Member</v>
          </cell>
          <cell r="H244" t="str">
            <v>멤버</v>
          </cell>
          <cell r="I244">
            <v>44263</v>
          </cell>
          <cell r="J244">
            <v>44263</v>
          </cell>
          <cell r="K244" t="str">
            <v>정규직</v>
          </cell>
          <cell r="L244" t="str">
            <v>사무직</v>
          </cell>
          <cell r="M244" t="str">
            <v>퇴직</v>
          </cell>
          <cell r="N244" t="str">
            <v>880929-1020826</v>
          </cell>
          <cell r="O244">
            <v>32415</v>
          </cell>
          <cell r="P244" t="str">
            <v>남</v>
          </cell>
          <cell r="Q244">
            <v>38</v>
          </cell>
          <cell r="R244">
            <v>36</v>
          </cell>
          <cell r="S244" t="str">
            <v>010-6688-0929</v>
          </cell>
          <cell r="T244" t="str">
            <v>서울시 관악구 보라매로 6길27 청원그린빌 401호</v>
          </cell>
          <cell r="U244" t="str">
            <v>dongyoung.kim@neurophet.com</v>
          </cell>
        </row>
        <row r="245">
          <cell r="A245">
            <v>242</v>
          </cell>
          <cell r="B245">
            <v>20090103</v>
          </cell>
          <cell r="C245" t="str">
            <v>김지현</v>
          </cell>
          <cell r="D245" t="str">
            <v>연구본부</v>
          </cell>
          <cell r="E245" t="str">
            <v>TechOps팀</v>
          </cell>
          <cell r="F245" t="str">
            <v>레이블링</v>
          </cell>
          <cell r="G245" t="str">
            <v>Member</v>
          </cell>
          <cell r="H245" t="str">
            <v>멤버</v>
          </cell>
          <cell r="I245">
            <v>44228</v>
          </cell>
          <cell r="J245">
            <v>44075</v>
          </cell>
          <cell r="K245" t="str">
            <v>정규직</v>
          </cell>
          <cell r="L245" t="str">
            <v>연구직</v>
          </cell>
          <cell r="M245" t="str">
            <v>퇴직</v>
          </cell>
          <cell r="N245" t="str">
            <v>970918-2047119</v>
          </cell>
          <cell r="O245">
            <v>35691</v>
          </cell>
          <cell r="P245" t="str">
            <v>여</v>
          </cell>
          <cell r="Q245">
            <v>29</v>
          </cell>
          <cell r="R245">
            <v>27</v>
          </cell>
          <cell r="S245" t="str">
            <v>010-7177-2546</v>
          </cell>
          <cell r="T245" t="str">
            <v>서울시 마포구 월드컵북로 12길 24-4</v>
          </cell>
          <cell r="U245" t="str">
            <v>jhkim@neurophet.com</v>
          </cell>
        </row>
        <row r="246">
          <cell r="A246">
            <v>243</v>
          </cell>
          <cell r="B246">
            <v>20030101</v>
          </cell>
          <cell r="C246" t="str">
            <v>박재형</v>
          </cell>
          <cell r="D246" t="str">
            <v>비즈니스본부</v>
          </cell>
          <cell r="E246" t="str">
            <v>비즈니스본부</v>
          </cell>
          <cell r="F246" t="str">
            <v>CBO</v>
          </cell>
          <cell r="G246" t="str">
            <v>CBO</v>
          </cell>
          <cell r="H246" t="str">
            <v>C-LEVEL</v>
          </cell>
          <cell r="I246">
            <v>43891</v>
          </cell>
          <cell r="J246">
            <v>43891</v>
          </cell>
          <cell r="K246" t="str">
            <v>정규직</v>
          </cell>
          <cell r="L246" t="str">
            <v>사무직</v>
          </cell>
          <cell r="M246" t="str">
            <v>퇴직</v>
          </cell>
          <cell r="N246" t="str">
            <v>740325-1080719</v>
          </cell>
          <cell r="O246">
            <v>27113</v>
          </cell>
          <cell r="P246" t="str">
            <v>남</v>
          </cell>
          <cell r="Q246">
            <v>52</v>
          </cell>
          <cell r="R246">
            <v>51</v>
          </cell>
          <cell r="S246" t="str">
            <v>010-5260-7632</v>
          </cell>
          <cell r="T246" t="str">
            <v>서울특별시 동작구 노량진동 332번지 쌍용예가 101-102</v>
          </cell>
          <cell r="U246" t="str">
            <v>jh.park@neurophet.com</v>
          </cell>
        </row>
        <row r="247">
          <cell r="A247">
            <v>244</v>
          </cell>
          <cell r="B247">
            <v>21091303</v>
          </cell>
          <cell r="C247" t="str">
            <v>김은비</v>
          </cell>
          <cell r="D247" t="str">
            <v>연구본부</v>
          </cell>
          <cell r="E247" t="str">
            <v>TechOps팀</v>
          </cell>
          <cell r="F247" t="str">
            <v>레이블링</v>
          </cell>
          <cell r="G247" t="str">
            <v>Temporary</v>
          </cell>
          <cell r="H247" t="str">
            <v>계약직</v>
          </cell>
          <cell r="I247">
            <v>44452</v>
          </cell>
          <cell r="J247">
            <v>44452</v>
          </cell>
          <cell r="K247" t="str">
            <v>계약직</v>
          </cell>
          <cell r="L247" t="str">
            <v>사무직</v>
          </cell>
          <cell r="M247" t="str">
            <v>퇴직</v>
          </cell>
          <cell r="N247" t="str">
            <v>980608-2194618</v>
          </cell>
          <cell r="O247">
            <v>35954</v>
          </cell>
          <cell r="P247" t="str">
            <v>여</v>
          </cell>
          <cell r="Q247">
            <v>28</v>
          </cell>
          <cell r="R247">
            <v>26</v>
          </cell>
          <cell r="T247" t="str">
            <v>경기 안양시 동안구 일동로 172, 202호</v>
          </cell>
        </row>
        <row r="248">
          <cell r="A248">
            <v>245</v>
          </cell>
          <cell r="B248">
            <v>21120101</v>
          </cell>
          <cell r="C248" t="str">
            <v>김승환</v>
          </cell>
          <cell r="D248" t="str">
            <v>비즈니스본부</v>
          </cell>
          <cell r="E248" t="str">
            <v>마케팅팀</v>
          </cell>
          <cell r="F248" t="str">
            <v>마케팅</v>
          </cell>
          <cell r="G248" t="str">
            <v>Member</v>
          </cell>
          <cell r="H248" t="str">
            <v>멤버</v>
          </cell>
          <cell r="I248">
            <v>44531</v>
          </cell>
          <cell r="J248">
            <v>44531</v>
          </cell>
          <cell r="K248" t="str">
            <v>정규직</v>
          </cell>
          <cell r="L248" t="str">
            <v>사무직</v>
          </cell>
          <cell r="M248" t="str">
            <v>퇴직</v>
          </cell>
          <cell r="N248" t="str">
            <v>830106-1169811</v>
          </cell>
          <cell r="O248">
            <v>30322</v>
          </cell>
          <cell r="P248" t="str">
            <v>남</v>
          </cell>
          <cell r="Q248">
            <v>43</v>
          </cell>
          <cell r="R248">
            <v>42</v>
          </cell>
          <cell r="S248" t="str">
            <v>010-9925-2244</v>
          </cell>
          <cell r="T248" t="str">
            <v>경기도 성남시 수정구 위례광장로 97 위례자연앤센트럴자이 3202동 403호</v>
          </cell>
          <cell r="U248" t="str">
            <v>shkim@neurophet.com</v>
          </cell>
        </row>
        <row r="249">
          <cell r="A249">
            <v>246</v>
          </cell>
          <cell r="B249">
            <v>20072701</v>
          </cell>
          <cell r="C249" t="str">
            <v>한재우</v>
          </cell>
          <cell r="D249" t="str">
            <v>프로덕트본부</v>
          </cell>
          <cell r="E249" t="str">
            <v>Frontend팀</v>
          </cell>
          <cell r="F249" t="str">
            <v>Front_End개발</v>
          </cell>
          <cell r="G249" t="str">
            <v>Member</v>
          </cell>
          <cell r="H249" t="str">
            <v>멤버</v>
          </cell>
          <cell r="I249">
            <v>44039</v>
          </cell>
          <cell r="J249">
            <v>44039</v>
          </cell>
          <cell r="K249" t="str">
            <v>정규직</v>
          </cell>
          <cell r="L249" t="str">
            <v>연구직</v>
          </cell>
          <cell r="M249" t="str">
            <v>퇴직</v>
          </cell>
          <cell r="N249" t="str">
            <v>891012-1408216</v>
          </cell>
          <cell r="O249">
            <v>32793</v>
          </cell>
          <cell r="P249" t="str">
            <v>남</v>
          </cell>
          <cell r="Q249">
            <v>37</v>
          </cell>
          <cell r="R249">
            <v>35</v>
          </cell>
          <cell r="S249" t="str">
            <v>010-4819-1012</v>
          </cell>
          <cell r="T249" t="str">
            <v>서울시 양천구 목동동로 50 1220동 903호</v>
          </cell>
          <cell r="U249" t="str">
            <v>jaewoo.han@neurophet.com</v>
          </cell>
        </row>
        <row r="250">
          <cell r="A250">
            <v>247</v>
          </cell>
          <cell r="B250" t="str">
            <v>21101401</v>
          </cell>
          <cell r="C250" t="str">
            <v>김원정</v>
          </cell>
          <cell r="D250" t="str">
            <v>연구본부</v>
          </cell>
          <cell r="E250" t="str">
            <v>임상연구팀</v>
          </cell>
          <cell r="F250" t="str">
            <v>임상연구지원</v>
          </cell>
          <cell r="G250" t="str">
            <v>Temporary</v>
          </cell>
          <cell r="H250" t="str">
            <v>계약직</v>
          </cell>
          <cell r="I250">
            <v>44483</v>
          </cell>
          <cell r="J250">
            <v>44483</v>
          </cell>
          <cell r="K250" t="str">
            <v>계약직</v>
          </cell>
          <cell r="L250" t="str">
            <v>사무직</v>
          </cell>
          <cell r="M250" t="str">
            <v>퇴직</v>
          </cell>
          <cell r="N250" t="str">
            <v>880810-2081614</v>
          </cell>
          <cell r="O250">
            <v>32365</v>
          </cell>
          <cell r="P250" t="str">
            <v>여</v>
          </cell>
          <cell r="Q250">
            <v>38</v>
          </cell>
          <cell r="R250">
            <v>36</v>
          </cell>
          <cell r="T250" t="str">
            <v>서울시 강동구 천호옉14길</v>
          </cell>
        </row>
        <row r="251">
          <cell r="A251">
            <v>248</v>
          </cell>
          <cell r="B251">
            <v>18020101</v>
          </cell>
          <cell r="C251" t="str">
            <v>김다연</v>
          </cell>
          <cell r="D251" t="str">
            <v>경영본부</v>
          </cell>
          <cell r="E251" t="str">
            <v>재무팀</v>
          </cell>
          <cell r="F251" t="str">
            <v>재무</v>
          </cell>
          <cell r="G251" t="str">
            <v>Member</v>
          </cell>
          <cell r="H251" t="str">
            <v>멤버</v>
          </cell>
          <cell r="I251">
            <v>43132</v>
          </cell>
          <cell r="J251">
            <v>43132</v>
          </cell>
          <cell r="K251" t="str">
            <v>정규직</v>
          </cell>
          <cell r="L251" t="str">
            <v>사무직</v>
          </cell>
          <cell r="M251" t="str">
            <v>퇴직</v>
          </cell>
          <cell r="N251" t="str">
            <v>900416-2158313</v>
          </cell>
          <cell r="O251">
            <v>32979</v>
          </cell>
          <cell r="P251" t="str">
            <v>여</v>
          </cell>
          <cell r="Q251">
            <v>36</v>
          </cell>
          <cell r="R251">
            <v>34</v>
          </cell>
          <cell r="S251" t="str">
            <v>010-9557-5460</v>
          </cell>
          <cell r="T251" t="str">
            <v>인천시 남동구 서창남순환로 190-100, 604동 1702호</v>
          </cell>
          <cell r="U251" t="str">
            <v>dykim@neurophet.com</v>
          </cell>
        </row>
        <row r="252">
          <cell r="A252">
            <v>249</v>
          </cell>
          <cell r="B252">
            <v>20122101</v>
          </cell>
          <cell r="C252" t="str">
            <v>홍서연</v>
          </cell>
          <cell r="D252" t="str">
            <v>프로덕트본부</v>
          </cell>
          <cell r="E252" t="str">
            <v>QA팀</v>
          </cell>
          <cell r="F252" t="str">
            <v>QC</v>
          </cell>
          <cell r="G252" t="str">
            <v>Member</v>
          </cell>
          <cell r="H252" t="str">
            <v>멤버</v>
          </cell>
          <cell r="I252">
            <v>44186</v>
          </cell>
          <cell r="J252">
            <v>44186</v>
          </cell>
          <cell r="K252" t="str">
            <v>정규직</v>
          </cell>
          <cell r="L252" t="str">
            <v>연구직</v>
          </cell>
          <cell r="M252" t="str">
            <v>퇴직</v>
          </cell>
          <cell r="N252" t="str">
            <v>931012-2184534</v>
          </cell>
          <cell r="O252">
            <v>34254</v>
          </cell>
          <cell r="P252" t="str">
            <v>여</v>
          </cell>
          <cell r="Q252">
            <v>33</v>
          </cell>
          <cell r="R252">
            <v>31</v>
          </cell>
          <cell r="S252" t="str">
            <v>010-6291-0179</v>
          </cell>
          <cell r="T252" t="str">
            <v>경기도 부천시 소사구 안곡로4 209-807</v>
          </cell>
          <cell r="U252" t="str">
            <v>syhong@neurophet.com</v>
          </cell>
        </row>
        <row r="253">
          <cell r="A253">
            <v>250</v>
          </cell>
          <cell r="B253">
            <v>20122102</v>
          </cell>
          <cell r="C253" t="str">
            <v>신윤하</v>
          </cell>
          <cell r="D253" t="str">
            <v>연구본부</v>
          </cell>
          <cell r="E253" t="str">
            <v>Neuroimaging팀</v>
          </cell>
          <cell r="F253" t="str">
            <v>신경망</v>
          </cell>
          <cell r="G253" t="str">
            <v>Member</v>
          </cell>
          <cell r="H253" t="str">
            <v>멤버</v>
          </cell>
          <cell r="I253">
            <v>44186</v>
          </cell>
          <cell r="J253">
            <v>44186</v>
          </cell>
          <cell r="K253" t="str">
            <v>정규직</v>
          </cell>
          <cell r="L253" t="str">
            <v>연구직</v>
          </cell>
          <cell r="M253" t="str">
            <v>퇴직</v>
          </cell>
          <cell r="N253" t="str">
            <v>880510-2055628</v>
          </cell>
          <cell r="O253">
            <v>32273</v>
          </cell>
          <cell r="P253" t="str">
            <v>여</v>
          </cell>
          <cell r="Q253">
            <v>38</v>
          </cell>
          <cell r="R253">
            <v>36</v>
          </cell>
          <cell r="S253" t="str">
            <v>010-9122-8339</v>
          </cell>
          <cell r="T253" t="str">
            <v>서울특별시 영등포구 선유동2로 56 205동 1105호</v>
          </cell>
          <cell r="U253" t="str">
            <v>eyshin@neurophet.com</v>
          </cell>
        </row>
        <row r="254">
          <cell r="A254">
            <v>251</v>
          </cell>
          <cell r="B254">
            <v>21090601</v>
          </cell>
          <cell r="C254" t="str">
            <v>남혜령</v>
          </cell>
          <cell r="D254" t="str">
            <v>연구본부</v>
          </cell>
          <cell r="E254" t="str">
            <v>Neuroimaging팀</v>
          </cell>
          <cell r="F254" t="str">
            <v>신경망</v>
          </cell>
          <cell r="G254" t="str">
            <v>Member</v>
          </cell>
          <cell r="H254" t="str">
            <v>멤버</v>
          </cell>
          <cell r="I254">
            <v>44445</v>
          </cell>
          <cell r="J254">
            <v>44445</v>
          </cell>
          <cell r="K254" t="str">
            <v>정규직</v>
          </cell>
          <cell r="L254" t="str">
            <v>연구직</v>
          </cell>
          <cell r="M254" t="str">
            <v>퇴직</v>
          </cell>
          <cell r="N254" t="str">
            <v>900617-2183113</v>
          </cell>
          <cell r="O254">
            <v>33041</v>
          </cell>
          <cell r="P254" t="str">
            <v>여</v>
          </cell>
          <cell r="Q254">
            <v>36</v>
          </cell>
          <cell r="R254">
            <v>34</v>
          </cell>
          <cell r="S254" t="str">
            <v>010-2255-2728</v>
          </cell>
          <cell r="T254" t="str">
            <v xml:space="preserve"> 경기도 안산시 사세충열로 4길 19 꿈애그린빌 A동 401호</v>
          </cell>
          <cell r="U254" t="str">
            <v>hrnam@neurophet.com</v>
          </cell>
        </row>
        <row r="255">
          <cell r="A255">
            <v>252</v>
          </cell>
          <cell r="B255">
            <v>20051101</v>
          </cell>
          <cell r="C255" t="str">
            <v>고봉석</v>
          </cell>
          <cell r="D255" t="str">
            <v>연구본부</v>
          </cell>
          <cell r="E255" t="str">
            <v>Neuroengineering</v>
          </cell>
          <cell r="F255" t="str">
            <v>Planning</v>
          </cell>
          <cell r="G255" t="str">
            <v>Member</v>
          </cell>
          <cell r="H255" t="str">
            <v>멤버</v>
          </cell>
          <cell r="I255">
            <v>43962</v>
          </cell>
          <cell r="J255">
            <v>43962</v>
          </cell>
          <cell r="K255" t="str">
            <v>정규직</v>
          </cell>
          <cell r="L255" t="str">
            <v>연구직</v>
          </cell>
          <cell r="M255" t="str">
            <v>퇴직</v>
          </cell>
          <cell r="N255" t="str">
            <v>930705-1019014</v>
          </cell>
          <cell r="O255">
            <v>34155</v>
          </cell>
          <cell r="P255" t="str">
            <v>남</v>
          </cell>
          <cell r="Q255">
            <v>33</v>
          </cell>
          <cell r="R255">
            <v>31</v>
          </cell>
          <cell r="S255" t="str">
            <v>010-2573-5546</v>
          </cell>
          <cell r="T255" t="str">
            <v>경기도 성남시 궁내동 궁내로 7번길 14 동양파크타운 111동 203호</v>
          </cell>
          <cell r="U255" t="str">
            <v>bsko@neurophet.com</v>
          </cell>
        </row>
        <row r="256">
          <cell r="A256">
            <v>253</v>
          </cell>
          <cell r="B256">
            <v>20020101</v>
          </cell>
          <cell r="C256" t="str">
            <v>김대희</v>
          </cell>
          <cell r="D256" t="str">
            <v>프로덕트본부</v>
          </cell>
          <cell r="E256" t="str">
            <v>개발팀</v>
          </cell>
          <cell r="F256" t="str">
            <v>개발총괄</v>
          </cell>
          <cell r="G256" t="str">
            <v>Director</v>
          </cell>
          <cell r="H256" t="str">
            <v>멤버</v>
          </cell>
          <cell r="I256">
            <v>43862</v>
          </cell>
          <cell r="J256">
            <v>43862</v>
          </cell>
          <cell r="K256" t="str">
            <v>정규직</v>
          </cell>
          <cell r="L256" t="str">
            <v>연구직</v>
          </cell>
          <cell r="M256" t="str">
            <v>퇴직</v>
          </cell>
          <cell r="N256" t="str">
            <v>721223-1785418</v>
          </cell>
          <cell r="O256">
            <v>26656</v>
          </cell>
          <cell r="P256" t="str">
            <v>남</v>
          </cell>
          <cell r="Q256">
            <v>54</v>
          </cell>
          <cell r="R256">
            <v>52</v>
          </cell>
          <cell r="S256" t="str">
            <v>010-8255-1053</v>
          </cell>
          <cell r="T256" t="str">
            <v>경기도 부천시 중동로 64, 105동 503호(송내동, 부천중동역푸르지오아파트)</v>
          </cell>
          <cell r="U256" t="str">
            <v>dh.kim@neurophet.com</v>
          </cell>
        </row>
        <row r="257">
          <cell r="A257">
            <v>254</v>
          </cell>
          <cell r="B257">
            <v>21050301</v>
          </cell>
          <cell r="C257" t="str">
            <v>김지호</v>
          </cell>
          <cell r="D257" t="str">
            <v>프로덕트본부</v>
          </cell>
          <cell r="E257" t="str">
            <v>QA팀</v>
          </cell>
          <cell r="F257" t="str">
            <v>QA</v>
          </cell>
          <cell r="G257" t="str">
            <v>Lead</v>
          </cell>
          <cell r="H257" t="str">
            <v>멤버</v>
          </cell>
          <cell r="I257">
            <v>44319</v>
          </cell>
          <cell r="J257">
            <v>44319</v>
          </cell>
          <cell r="K257" t="str">
            <v>정규직</v>
          </cell>
          <cell r="L257" t="str">
            <v>연구직</v>
          </cell>
          <cell r="M257" t="str">
            <v>퇴직</v>
          </cell>
          <cell r="N257" t="str">
            <v>860703-1561418</v>
          </cell>
          <cell r="O257">
            <v>31596</v>
          </cell>
          <cell r="P257" t="str">
            <v>남</v>
          </cell>
          <cell r="Q257">
            <v>40</v>
          </cell>
          <cell r="R257">
            <v>38</v>
          </cell>
          <cell r="T257" t="str">
            <v xml:space="preserve">경기도 안양시 동안구 시민대로 266 (관양동, 평촌샤르망오피스텔) 1327호    </v>
          </cell>
        </row>
        <row r="258">
          <cell r="A258">
            <v>255</v>
          </cell>
          <cell r="B258">
            <v>21102501</v>
          </cell>
          <cell r="C258" t="str">
            <v>장진원</v>
          </cell>
          <cell r="D258" t="str">
            <v>사업개발본부</v>
          </cell>
          <cell r="E258" t="str">
            <v>사업개발본부</v>
          </cell>
          <cell r="F258" t="str">
            <v>해외사업</v>
          </cell>
          <cell r="G258" t="str">
            <v>Member</v>
          </cell>
          <cell r="H258" t="str">
            <v>멤버</v>
          </cell>
          <cell r="I258">
            <v>44494</v>
          </cell>
          <cell r="J258">
            <v>44494</v>
          </cell>
          <cell r="K258" t="str">
            <v>정규직</v>
          </cell>
          <cell r="L258" t="str">
            <v>사무직</v>
          </cell>
          <cell r="M258" t="str">
            <v>퇴직</v>
          </cell>
          <cell r="N258" t="str">
            <v>810907-5100138</v>
          </cell>
          <cell r="O258">
            <v>29836</v>
          </cell>
          <cell r="P258" t="str">
            <v>남</v>
          </cell>
          <cell r="Q258">
            <v>45</v>
          </cell>
          <cell r="R258">
            <v>43</v>
          </cell>
          <cell r="S258" t="str">
            <v>010-2071-4447</v>
          </cell>
          <cell r="T258" t="str">
            <v>서울특별시 용산구 원효로 63길 22 201호</v>
          </cell>
          <cell r="U258" t="str">
            <v>jwjang@neurophet.com</v>
          </cell>
        </row>
        <row r="259">
          <cell r="A259">
            <v>256</v>
          </cell>
          <cell r="B259">
            <v>21080201</v>
          </cell>
          <cell r="C259" t="str">
            <v>김경환</v>
          </cell>
          <cell r="D259" t="str">
            <v>연구본부</v>
          </cell>
          <cell r="E259" t="str">
            <v>인증</v>
          </cell>
          <cell r="F259" t="str">
            <v>RA</v>
          </cell>
          <cell r="G259" t="str">
            <v>Member</v>
          </cell>
          <cell r="H259" t="str">
            <v>멤버</v>
          </cell>
          <cell r="I259">
            <v>44410</v>
          </cell>
          <cell r="J259">
            <v>44410</v>
          </cell>
          <cell r="K259" t="str">
            <v>정규직</v>
          </cell>
          <cell r="L259" t="str">
            <v>연구직</v>
          </cell>
          <cell r="M259" t="str">
            <v>퇴직</v>
          </cell>
          <cell r="N259" t="str">
            <v>931103-1075715</v>
          </cell>
          <cell r="O259">
            <v>34276</v>
          </cell>
          <cell r="P259" t="str">
            <v>남</v>
          </cell>
          <cell r="Q259">
            <v>33</v>
          </cell>
          <cell r="R259">
            <v>31</v>
          </cell>
          <cell r="S259" t="str">
            <v>010-8962-8547</v>
          </cell>
          <cell r="T259" t="str">
            <v xml:space="preserve"> 서울시 중랑구 신내역로 160, 401동 703호</v>
          </cell>
          <cell r="U259" t="str">
            <v>kh.kim@neurophet.com</v>
          </cell>
        </row>
        <row r="260">
          <cell r="A260">
            <v>257</v>
          </cell>
          <cell r="B260">
            <v>19120101</v>
          </cell>
          <cell r="C260" t="str">
            <v>박세진</v>
          </cell>
          <cell r="D260" t="str">
            <v>경영본부</v>
          </cell>
          <cell r="E260" t="str">
            <v>운영팀</v>
          </cell>
          <cell r="F260" t="str">
            <v>Operation Lead</v>
          </cell>
          <cell r="G260" t="str">
            <v>Lead</v>
          </cell>
          <cell r="H260" t="str">
            <v>멤버</v>
          </cell>
          <cell r="I260">
            <v>43800</v>
          </cell>
          <cell r="J260">
            <v>43800</v>
          </cell>
          <cell r="K260" t="str">
            <v>정규직</v>
          </cell>
          <cell r="L260" t="str">
            <v>사무직</v>
          </cell>
          <cell r="M260" t="str">
            <v>퇴직</v>
          </cell>
          <cell r="N260" t="str">
            <v>700420-1068911</v>
          </cell>
          <cell r="O260">
            <v>25678</v>
          </cell>
          <cell r="P260" t="str">
            <v>남</v>
          </cell>
          <cell r="Q260">
            <v>56</v>
          </cell>
          <cell r="R260">
            <v>54</v>
          </cell>
          <cell r="S260" t="str">
            <v>010-6235-6430</v>
          </cell>
          <cell r="T260" t="str">
            <v>서울시 송파구 송파동 43번지 송광빌딩 501호</v>
          </cell>
          <cell r="U260" t="str">
            <v>blue420@neurophet.com</v>
          </cell>
        </row>
        <row r="261">
          <cell r="A261">
            <v>258</v>
          </cell>
          <cell r="B261">
            <v>21072601</v>
          </cell>
          <cell r="C261" t="str">
            <v>양서영</v>
          </cell>
          <cell r="D261" t="str">
            <v>프로덕트본부</v>
          </cell>
          <cell r="E261" t="str">
            <v>기획팀</v>
          </cell>
          <cell r="F261" t="str">
            <v>디자인</v>
          </cell>
          <cell r="G261" t="str">
            <v>Member</v>
          </cell>
          <cell r="H261" t="str">
            <v>멤버</v>
          </cell>
          <cell r="I261">
            <v>44403</v>
          </cell>
          <cell r="J261">
            <v>44403</v>
          </cell>
          <cell r="K261" t="str">
            <v>정규직</v>
          </cell>
          <cell r="L261" t="str">
            <v>연구직</v>
          </cell>
          <cell r="M261" t="str">
            <v>퇴직</v>
          </cell>
          <cell r="N261" t="str">
            <v>901202-2157718</v>
          </cell>
          <cell r="O261">
            <v>33209</v>
          </cell>
          <cell r="P261" t="str">
            <v>여</v>
          </cell>
          <cell r="Q261">
            <v>36</v>
          </cell>
          <cell r="R261">
            <v>34</v>
          </cell>
          <cell r="S261" t="str">
            <v>010-5159-7734</v>
          </cell>
          <cell r="T261" t="str">
            <v xml:space="preserve"> 경기도 남양주시 호평동 라인아파트 104동 902호 </v>
          </cell>
          <cell r="U261" t="str">
            <v>seoyoung@neurophet.com</v>
          </cell>
        </row>
        <row r="262">
          <cell r="A262">
            <v>259</v>
          </cell>
          <cell r="B262">
            <v>19110101</v>
          </cell>
          <cell r="C262" t="str">
            <v>신현묵</v>
          </cell>
          <cell r="D262" t="str">
            <v>프로덕트본부</v>
          </cell>
          <cell r="E262" t="str">
            <v>R&amp;D Unit</v>
          </cell>
          <cell r="F262" t="str">
            <v>CSO</v>
          </cell>
          <cell r="G262" t="str">
            <v>CSO</v>
          </cell>
          <cell r="H262" t="str">
            <v>C-LEVEL</v>
          </cell>
          <cell r="I262">
            <v>43770</v>
          </cell>
          <cell r="J262">
            <v>43770</v>
          </cell>
          <cell r="K262" t="str">
            <v>정규직</v>
          </cell>
          <cell r="L262" t="str">
            <v>연구직</v>
          </cell>
          <cell r="M262" t="str">
            <v>퇴직</v>
          </cell>
          <cell r="N262" t="str">
            <v>720301-1149715</v>
          </cell>
          <cell r="O262">
            <v>26359</v>
          </cell>
          <cell r="P262" t="str">
            <v>남</v>
          </cell>
          <cell r="Q262">
            <v>54</v>
          </cell>
          <cell r="R262">
            <v>53</v>
          </cell>
          <cell r="S262" t="str">
            <v>010-9972-1760</v>
          </cell>
          <cell r="T262" t="str">
            <v>경기도 고양시 일산동구 산두로 72 201-204</v>
          </cell>
          <cell r="U262" t="str">
            <v>sean.shin@neurophet.com</v>
          </cell>
        </row>
        <row r="263">
          <cell r="A263">
            <v>260</v>
          </cell>
          <cell r="B263">
            <v>17041001</v>
          </cell>
          <cell r="C263" t="str">
            <v>민대규</v>
          </cell>
          <cell r="D263" t="str">
            <v>프로덕트본부</v>
          </cell>
          <cell r="E263" t="str">
            <v>Labs</v>
          </cell>
          <cell r="F263" t="str">
            <v>Guide Solution</v>
          </cell>
          <cell r="G263" t="str">
            <v>Lead</v>
          </cell>
          <cell r="H263" t="str">
            <v>멤버</v>
          </cell>
          <cell r="I263">
            <v>42835</v>
          </cell>
          <cell r="J263">
            <v>42835</v>
          </cell>
          <cell r="K263" t="str">
            <v>정규직</v>
          </cell>
          <cell r="L263" t="str">
            <v>연구직</v>
          </cell>
          <cell r="M263" t="str">
            <v>퇴직</v>
          </cell>
          <cell r="N263" t="str">
            <v>820309-1019716</v>
          </cell>
          <cell r="O263">
            <v>30019</v>
          </cell>
          <cell r="P263" t="str">
            <v>남</v>
          </cell>
          <cell r="Q263">
            <v>44</v>
          </cell>
          <cell r="R263">
            <v>43</v>
          </cell>
          <cell r="S263" t="str">
            <v>010-5878-0309</v>
          </cell>
          <cell r="T263" t="str">
            <v>인천광역시 부평구 경원대로 1269, 104동 101호(산곡동, 현대아파트)</v>
          </cell>
          <cell r="U263" t="str">
            <v>dgmin@neurophet.com</v>
          </cell>
        </row>
        <row r="264">
          <cell r="A264">
            <v>261</v>
          </cell>
          <cell r="B264">
            <v>21060102</v>
          </cell>
          <cell r="C264" t="str">
            <v>김현수..</v>
          </cell>
          <cell r="D264" t="str">
            <v>연구본부</v>
          </cell>
          <cell r="E264" t="str">
            <v>TechOps팀</v>
          </cell>
          <cell r="F264" t="str">
            <v>레이블링</v>
          </cell>
          <cell r="G264" t="str">
            <v>Temporary</v>
          </cell>
          <cell r="H264" t="str">
            <v>계약직</v>
          </cell>
          <cell r="I264">
            <v>44348</v>
          </cell>
          <cell r="J264">
            <v>44348</v>
          </cell>
          <cell r="K264" t="str">
            <v>계약직</v>
          </cell>
          <cell r="L264" t="str">
            <v>사무직</v>
          </cell>
          <cell r="M264" t="str">
            <v>퇴직</v>
          </cell>
          <cell r="N264" t="str">
            <v>991019-1235224</v>
          </cell>
          <cell r="O264">
            <v>36452</v>
          </cell>
          <cell r="P264" t="str">
            <v>남</v>
          </cell>
          <cell r="Q264">
            <v>27</v>
          </cell>
          <cell r="R264">
            <v>25</v>
          </cell>
          <cell r="S264" t="str">
            <v>010-8911-8732</v>
          </cell>
          <cell r="T264" t="str">
            <v>서울특별시 성동구 둘레19길 5 강변임광아파트 101동 907호</v>
          </cell>
          <cell r="U264" t="str">
            <v>khs@neurophet.com</v>
          </cell>
        </row>
        <row r="265">
          <cell r="A265">
            <v>262</v>
          </cell>
          <cell r="B265">
            <v>20040101</v>
          </cell>
          <cell r="C265" t="str">
            <v>최성우</v>
          </cell>
          <cell r="D265" t="str">
            <v>비즈니스본부</v>
          </cell>
          <cell r="E265" t="str">
            <v>마케팅팀</v>
          </cell>
          <cell r="F265" t="str">
            <v>마케팅</v>
          </cell>
          <cell r="G265" t="str">
            <v>Member</v>
          </cell>
          <cell r="H265" t="str">
            <v>멤버</v>
          </cell>
          <cell r="I265">
            <v>43922</v>
          </cell>
          <cell r="J265">
            <v>43922</v>
          </cell>
          <cell r="K265" t="str">
            <v>정규직</v>
          </cell>
          <cell r="L265" t="str">
            <v>사무직</v>
          </cell>
          <cell r="M265" t="str">
            <v>퇴직</v>
          </cell>
          <cell r="N265" t="str">
            <v>920127-1114523</v>
          </cell>
          <cell r="O265">
            <v>33630</v>
          </cell>
          <cell r="P265" t="str">
            <v>남</v>
          </cell>
          <cell r="Q265">
            <v>34</v>
          </cell>
          <cell r="R265">
            <v>33</v>
          </cell>
          <cell r="S265" t="str">
            <v>010-3936-7552</v>
          </cell>
          <cell r="T265" t="str">
            <v xml:space="preserve"> 서울특별시 관악구 봉천로 588-13, 301호</v>
          </cell>
          <cell r="U265" t="str">
            <v>sw.choi@neurophet.com</v>
          </cell>
        </row>
        <row r="266">
          <cell r="A266">
            <v>263</v>
          </cell>
          <cell r="B266">
            <v>21062101</v>
          </cell>
          <cell r="C266" t="str">
            <v>오윤주</v>
          </cell>
          <cell r="D266" t="str">
            <v>프로덕트본부</v>
          </cell>
          <cell r="E266" t="str">
            <v>Medical Web Application팀</v>
          </cell>
          <cell r="F266" t="str">
            <v>Front_End개발</v>
          </cell>
          <cell r="G266" t="str">
            <v>Member</v>
          </cell>
          <cell r="H266" t="str">
            <v>멤버</v>
          </cell>
          <cell r="I266">
            <v>44368</v>
          </cell>
          <cell r="J266">
            <v>44368</v>
          </cell>
          <cell r="K266" t="str">
            <v>정규직</v>
          </cell>
          <cell r="L266" t="str">
            <v>연구직</v>
          </cell>
          <cell r="M266" t="str">
            <v>퇴직</v>
          </cell>
          <cell r="N266" t="str">
            <v>901217-2059211</v>
          </cell>
          <cell r="O266">
            <v>33224</v>
          </cell>
          <cell r="P266" t="str">
            <v>여</v>
          </cell>
          <cell r="Q266">
            <v>36</v>
          </cell>
          <cell r="R266">
            <v>34</v>
          </cell>
          <cell r="S266" t="str">
            <v>010-7225-9988</v>
          </cell>
          <cell r="T266" t="str">
            <v>서울시 관악구 남부순환로247나길 6, 힐탑빌리지 201호</v>
          </cell>
          <cell r="U266" t="str">
            <v>yjo@neurophet.com</v>
          </cell>
        </row>
        <row r="267">
          <cell r="A267">
            <v>264</v>
          </cell>
          <cell r="B267" t="str">
            <v>20121402</v>
          </cell>
          <cell r="C267" t="str">
            <v>박현진</v>
          </cell>
          <cell r="D267" t="str">
            <v>연구본부</v>
          </cell>
          <cell r="E267" t="str">
            <v>TechOps팀</v>
          </cell>
          <cell r="F267" t="str">
            <v>레이블링</v>
          </cell>
          <cell r="G267" t="str">
            <v>Temporary</v>
          </cell>
          <cell r="H267" t="str">
            <v>계약직</v>
          </cell>
          <cell r="I267">
            <v>44179</v>
          </cell>
          <cell r="J267">
            <v>44179</v>
          </cell>
          <cell r="K267" t="str">
            <v>계약직</v>
          </cell>
          <cell r="L267" t="str">
            <v>사무직</v>
          </cell>
          <cell r="M267" t="str">
            <v>퇴직</v>
          </cell>
          <cell r="N267" t="str">
            <v>001213-3179812</v>
          </cell>
          <cell r="O267">
            <v>36873</v>
          </cell>
          <cell r="P267" t="str">
            <v>남</v>
          </cell>
          <cell r="Q267">
            <v>26</v>
          </cell>
          <cell r="R267">
            <v>24</v>
          </cell>
          <cell r="T267" t="str">
            <v>서울시 송파구 백제고분로45길 13</v>
          </cell>
        </row>
        <row r="268">
          <cell r="A268">
            <v>265</v>
          </cell>
          <cell r="B268">
            <v>20071302</v>
          </cell>
          <cell r="C268" t="str">
            <v>유민구</v>
          </cell>
          <cell r="D268" t="str">
            <v>비즈니스본부</v>
          </cell>
          <cell r="E268" t="str">
            <v>마케팅팀</v>
          </cell>
          <cell r="F268" t="str">
            <v>마케팅</v>
          </cell>
          <cell r="G268" t="str">
            <v>Lead</v>
          </cell>
          <cell r="H268" t="str">
            <v>멤버</v>
          </cell>
          <cell r="I268">
            <v>44025</v>
          </cell>
          <cell r="J268">
            <v>44025</v>
          </cell>
          <cell r="K268" t="str">
            <v>정규직</v>
          </cell>
          <cell r="L268" t="str">
            <v>사무직</v>
          </cell>
          <cell r="M268" t="str">
            <v>퇴직</v>
          </cell>
          <cell r="N268" t="str">
            <v>791114-1019711</v>
          </cell>
          <cell r="O268">
            <v>29173</v>
          </cell>
          <cell r="P268" t="str">
            <v>남</v>
          </cell>
          <cell r="Q268">
            <v>47</v>
          </cell>
          <cell r="R268">
            <v>45</v>
          </cell>
          <cell r="S268" t="str">
            <v>010-9249-3748</v>
          </cell>
          <cell r="T268" t="str">
            <v>경기도 과천시 부림4길 29-13</v>
          </cell>
          <cell r="U268" t="str">
            <v>mgyu@neurophet.com</v>
          </cell>
        </row>
        <row r="269">
          <cell r="A269">
            <v>266</v>
          </cell>
          <cell r="B269">
            <v>21010401</v>
          </cell>
          <cell r="C269" t="str">
            <v>이도아</v>
          </cell>
          <cell r="D269" t="str">
            <v>비즈니스본부</v>
          </cell>
          <cell r="E269" t="str">
            <v>세일즈팀</v>
          </cell>
          <cell r="F269" t="str">
            <v>영업지원</v>
          </cell>
          <cell r="G269" t="str">
            <v>Member</v>
          </cell>
          <cell r="H269" t="str">
            <v>멤버</v>
          </cell>
          <cell r="I269">
            <v>44200</v>
          </cell>
          <cell r="J269">
            <v>44200</v>
          </cell>
          <cell r="K269" t="str">
            <v>정규직</v>
          </cell>
          <cell r="L269" t="str">
            <v>사무직</v>
          </cell>
          <cell r="M269" t="str">
            <v>퇴직</v>
          </cell>
          <cell r="N269" t="str">
            <v>840206-2067232</v>
          </cell>
          <cell r="O269">
            <v>30718</v>
          </cell>
          <cell r="P269" t="str">
            <v>여</v>
          </cell>
          <cell r="Q269">
            <v>42</v>
          </cell>
          <cell r="R269">
            <v>41</v>
          </cell>
          <cell r="S269" t="str">
            <v>010-8868-0206</v>
          </cell>
          <cell r="T269" t="str">
            <v>서울시 구로구 가마산로 268 대림역와이즈플레이스 1804호</v>
          </cell>
          <cell r="U269" t="str">
            <v> doalee@neurophet.com</v>
          </cell>
        </row>
        <row r="270">
          <cell r="A270">
            <v>267</v>
          </cell>
          <cell r="B270">
            <v>20021901</v>
          </cell>
          <cell r="C270" t="str">
            <v>박상규</v>
          </cell>
          <cell r="D270" t="str">
            <v>비즈니스본부</v>
          </cell>
          <cell r="E270" t="str">
            <v>세일즈팀</v>
          </cell>
          <cell r="F270" t="str">
            <v>영업팀장</v>
          </cell>
          <cell r="G270" t="str">
            <v>Lead</v>
          </cell>
          <cell r="H270" t="str">
            <v>멤버</v>
          </cell>
          <cell r="I270">
            <v>43880</v>
          </cell>
          <cell r="J270">
            <v>43880</v>
          </cell>
          <cell r="K270" t="str">
            <v>정규직</v>
          </cell>
          <cell r="L270" t="str">
            <v>사무직</v>
          </cell>
          <cell r="M270" t="str">
            <v>퇴직</v>
          </cell>
          <cell r="N270" t="str">
            <v>740929-1683836</v>
          </cell>
          <cell r="O270">
            <v>27301</v>
          </cell>
          <cell r="P270" t="str">
            <v>남</v>
          </cell>
          <cell r="Q270">
            <v>52</v>
          </cell>
          <cell r="R270">
            <v>50</v>
          </cell>
          <cell r="S270" t="str">
            <v>010-3455-2187</v>
          </cell>
          <cell r="T270" t="str">
            <v>경기도 안양시 만안구 안양로 224-7, 501호</v>
          </cell>
          <cell r="U270" t="str">
            <v>sangkyou@neurophet.com</v>
          </cell>
        </row>
        <row r="271">
          <cell r="A271">
            <v>268</v>
          </cell>
          <cell r="B271">
            <v>20071301</v>
          </cell>
          <cell r="C271" t="str">
            <v>김종랑</v>
          </cell>
          <cell r="D271" t="str">
            <v>비즈니스본부</v>
          </cell>
          <cell r="E271" t="str">
            <v>마케팅팀</v>
          </cell>
          <cell r="F271" t="str">
            <v>BD</v>
          </cell>
          <cell r="G271" t="str">
            <v>Member</v>
          </cell>
          <cell r="H271" t="str">
            <v>멤버</v>
          </cell>
          <cell r="I271">
            <v>44025</v>
          </cell>
          <cell r="J271">
            <v>44025</v>
          </cell>
          <cell r="K271" t="str">
            <v>정규직</v>
          </cell>
          <cell r="L271" t="str">
            <v>사무직</v>
          </cell>
          <cell r="M271" t="str">
            <v>퇴직</v>
          </cell>
          <cell r="N271" t="str">
            <v>831210-1058823</v>
          </cell>
          <cell r="O271">
            <v>30660</v>
          </cell>
          <cell r="P271" t="str">
            <v>남</v>
          </cell>
          <cell r="Q271">
            <v>43</v>
          </cell>
          <cell r="R271">
            <v>41</v>
          </cell>
          <cell r="S271" t="str">
            <v>010-4138-1061</v>
          </cell>
          <cell r="T271" t="str">
            <v>서울시 노원구 광운로2나길 30  동신아파트 6동 202호</v>
          </cell>
          <cell r="U271" t="str">
            <v>jrkim@neurophet.com</v>
          </cell>
        </row>
        <row r="272">
          <cell r="A272">
            <v>269</v>
          </cell>
          <cell r="B272">
            <v>21041201</v>
          </cell>
          <cell r="C272" t="str">
            <v>임기은</v>
          </cell>
          <cell r="D272" t="str">
            <v>프로덕트본부</v>
          </cell>
          <cell r="E272" t="str">
            <v>기획팀</v>
          </cell>
          <cell r="F272" t="str">
            <v>기획</v>
          </cell>
          <cell r="G272" t="str">
            <v>Intern</v>
          </cell>
          <cell r="H272" t="str">
            <v>멤버</v>
          </cell>
          <cell r="I272">
            <v>44298</v>
          </cell>
          <cell r="J272">
            <v>44358</v>
          </cell>
          <cell r="K272" t="str">
            <v>계약직</v>
          </cell>
          <cell r="L272" t="str">
            <v>연구직</v>
          </cell>
          <cell r="M272" t="str">
            <v>퇴직</v>
          </cell>
          <cell r="N272" t="str">
            <v>930705-2041814</v>
          </cell>
          <cell r="O272">
            <v>34155</v>
          </cell>
          <cell r="P272" t="str">
            <v>여</v>
          </cell>
          <cell r="Q272">
            <v>33</v>
          </cell>
          <cell r="R272">
            <v>31</v>
          </cell>
          <cell r="S272" t="str">
            <v>010-3227-4382</v>
          </cell>
          <cell r="T272" t="str">
            <v xml:space="preserve">서울시 은평구 갈현로 35길 12, 301호     </v>
          </cell>
        </row>
        <row r="273">
          <cell r="A273">
            <v>270</v>
          </cell>
          <cell r="B273" t="str">
            <v>21010101</v>
          </cell>
          <cell r="C273" t="str">
            <v>김구헌</v>
          </cell>
          <cell r="D273" t="str">
            <v>경영본부</v>
          </cell>
          <cell r="E273" t="str">
            <v>대표이사</v>
          </cell>
          <cell r="F273" t="str">
            <v>CFO</v>
          </cell>
          <cell r="G273" t="str">
            <v>C-Level</v>
          </cell>
          <cell r="H273" t="str">
            <v>멤버</v>
          </cell>
          <cell r="I273">
            <v>44197</v>
          </cell>
          <cell r="J273">
            <v>44197</v>
          </cell>
          <cell r="K273" t="str">
            <v>정규직</v>
          </cell>
          <cell r="L273" t="str">
            <v>사무직</v>
          </cell>
          <cell r="M273" t="str">
            <v>퇴직</v>
          </cell>
          <cell r="N273" t="str">
            <v>720522-1822212</v>
          </cell>
          <cell r="O273">
            <v>26441</v>
          </cell>
          <cell r="P273" t="str">
            <v>남</v>
          </cell>
          <cell r="Q273">
            <v>54</v>
          </cell>
          <cell r="R273">
            <v>52</v>
          </cell>
          <cell r="S273" t="str">
            <v>010-6212-1170</v>
          </cell>
          <cell r="T273" t="str">
            <v>서울시 서초구 잠원로 37-48, 207동 802호(잠원동, 신반포4차아파트)</v>
          </cell>
          <cell r="U273" t="str">
            <v> ghkim@neurophet.com</v>
          </cell>
        </row>
        <row r="274">
          <cell r="A274">
            <v>271</v>
          </cell>
          <cell r="B274">
            <v>19061001</v>
          </cell>
          <cell r="C274" t="str">
            <v>박정훈</v>
          </cell>
          <cell r="D274" t="str">
            <v>프로덕트본부</v>
          </cell>
          <cell r="E274" t="str">
            <v>Medical Web Application팀</v>
          </cell>
          <cell r="F274" t="str">
            <v>Front_End</v>
          </cell>
          <cell r="G274" t="str">
            <v>Member</v>
          </cell>
          <cell r="H274" t="str">
            <v>멤버</v>
          </cell>
          <cell r="I274">
            <v>43626</v>
          </cell>
          <cell r="J274">
            <v>43626</v>
          </cell>
          <cell r="K274" t="str">
            <v>정규직</v>
          </cell>
          <cell r="L274" t="str">
            <v>연구직</v>
          </cell>
          <cell r="M274" t="str">
            <v>퇴직</v>
          </cell>
          <cell r="N274" t="str">
            <v>950115-1216012</v>
          </cell>
          <cell r="O274">
            <v>34714</v>
          </cell>
          <cell r="P274" t="str">
            <v>남</v>
          </cell>
          <cell r="Q274">
            <v>31</v>
          </cell>
          <cell r="R274">
            <v>30</v>
          </cell>
          <cell r="S274" t="str">
            <v>010-8742-6881</v>
          </cell>
          <cell r="T274" t="str">
            <v>서울특별시 관악구 봉천동 1540-24</v>
          </cell>
          <cell r="U274" t="str">
            <v>jhpark@neurophet.com</v>
          </cell>
        </row>
        <row r="275">
          <cell r="A275">
            <v>272</v>
          </cell>
          <cell r="B275">
            <v>20040103</v>
          </cell>
          <cell r="C275" t="str">
            <v>주정열</v>
          </cell>
          <cell r="D275" t="str">
            <v>프로덕트본부</v>
          </cell>
          <cell r="E275" t="str">
            <v>Labs</v>
          </cell>
          <cell r="F275" t="str">
            <v>Guide Solution</v>
          </cell>
          <cell r="G275" t="str">
            <v>Member</v>
          </cell>
          <cell r="H275" t="str">
            <v>멤버</v>
          </cell>
          <cell r="I275">
            <v>43922</v>
          </cell>
          <cell r="J275">
            <v>43922</v>
          </cell>
          <cell r="K275" t="str">
            <v>정규직</v>
          </cell>
          <cell r="L275" t="str">
            <v>연구직</v>
          </cell>
          <cell r="M275" t="str">
            <v>퇴직</v>
          </cell>
          <cell r="N275" t="str">
            <v>900829-1158024</v>
          </cell>
          <cell r="O275">
            <v>33114</v>
          </cell>
          <cell r="P275" t="str">
            <v>남</v>
          </cell>
          <cell r="Q275">
            <v>36</v>
          </cell>
          <cell r="R275">
            <v>34</v>
          </cell>
          <cell r="S275" t="str">
            <v>010-6667-2930</v>
          </cell>
          <cell r="T275" t="str">
            <v>경기도 용인시 기흥구 신갈로 124번길 23-5 행인오피스텔 310호</v>
          </cell>
          <cell r="U275" t="str">
            <v>jyjoo@neurophet.com</v>
          </cell>
        </row>
        <row r="276">
          <cell r="A276">
            <v>273</v>
          </cell>
          <cell r="B276">
            <v>20040102</v>
          </cell>
          <cell r="C276" t="str">
            <v>정의준</v>
          </cell>
          <cell r="D276" t="str">
            <v>프로덕트본부</v>
          </cell>
          <cell r="E276" t="str">
            <v>QA팀</v>
          </cell>
          <cell r="F276" t="str">
            <v>QC</v>
          </cell>
          <cell r="G276" t="str">
            <v>Member</v>
          </cell>
          <cell r="H276" t="str">
            <v>멤버</v>
          </cell>
          <cell r="I276">
            <v>43922</v>
          </cell>
          <cell r="J276">
            <v>43922</v>
          </cell>
          <cell r="K276" t="str">
            <v>정규직</v>
          </cell>
          <cell r="L276" t="str">
            <v>연구직</v>
          </cell>
          <cell r="M276" t="str">
            <v>퇴직</v>
          </cell>
          <cell r="N276" t="str">
            <v>840105-1065626</v>
          </cell>
          <cell r="O276">
            <v>30686</v>
          </cell>
          <cell r="P276" t="str">
            <v>남</v>
          </cell>
          <cell r="Q276">
            <v>42</v>
          </cell>
          <cell r="R276">
            <v>41</v>
          </cell>
          <cell r="S276" t="str">
            <v>010-4231-1523</v>
          </cell>
          <cell r="T276" t="str">
            <v>서울시 가마산로 97 구로현대@ 1107호</v>
          </cell>
          <cell r="U276" t="str">
            <v>ej.jeong@neurophet.com</v>
          </cell>
        </row>
        <row r="277">
          <cell r="A277">
            <v>274</v>
          </cell>
          <cell r="B277">
            <v>20120701</v>
          </cell>
          <cell r="C277" t="str">
            <v>손석현</v>
          </cell>
          <cell r="D277" t="str">
            <v>연구본부</v>
          </cell>
          <cell r="E277" t="str">
            <v>TechOps팀</v>
          </cell>
          <cell r="F277" t="str">
            <v>레이블링</v>
          </cell>
          <cell r="G277" t="str">
            <v>Temporary</v>
          </cell>
          <cell r="H277" t="str">
            <v>계약직</v>
          </cell>
          <cell r="I277">
            <v>44172</v>
          </cell>
          <cell r="J277">
            <v>44172</v>
          </cell>
          <cell r="K277" t="str">
            <v>계약직</v>
          </cell>
          <cell r="L277" t="str">
            <v>사무직</v>
          </cell>
          <cell r="M277" t="str">
            <v>퇴직</v>
          </cell>
          <cell r="N277" t="str">
            <v>970505-1178518</v>
          </cell>
          <cell r="O277">
            <v>35555</v>
          </cell>
          <cell r="P277" t="str">
            <v>남</v>
          </cell>
          <cell r="Q277">
            <v>29</v>
          </cell>
          <cell r="R277">
            <v>27</v>
          </cell>
          <cell r="S277" t="str">
            <v>010-7756-7650</v>
          </cell>
          <cell r="T277" t="str">
            <v>경기도 수원시 영통구 인계로 189번길 14</v>
          </cell>
        </row>
        <row r="278">
          <cell r="A278">
            <v>275</v>
          </cell>
          <cell r="B278" t="str">
            <v>21010102</v>
          </cell>
          <cell r="C278" t="str">
            <v>정우진</v>
          </cell>
          <cell r="D278" t="str">
            <v>연구본부</v>
          </cell>
          <cell r="E278" t="str">
            <v>TechOps팀</v>
          </cell>
          <cell r="F278" t="str">
            <v>레이블링</v>
          </cell>
          <cell r="G278" t="str">
            <v>Temporary</v>
          </cell>
          <cell r="H278" t="str">
            <v>계약직</v>
          </cell>
          <cell r="I278">
            <v>44197</v>
          </cell>
          <cell r="J278">
            <v>44197</v>
          </cell>
          <cell r="K278" t="str">
            <v>계약직</v>
          </cell>
          <cell r="L278" t="str">
            <v>사무직</v>
          </cell>
          <cell r="M278" t="str">
            <v>퇴직</v>
          </cell>
          <cell r="N278" t="str">
            <v>950522-1051813</v>
          </cell>
          <cell r="O278">
            <v>34841</v>
          </cell>
          <cell r="P278" t="str">
            <v>남</v>
          </cell>
          <cell r="Q278">
            <v>31</v>
          </cell>
          <cell r="R278">
            <v>29</v>
          </cell>
          <cell r="S278" t="str">
            <v>010-2050-4289</v>
          </cell>
        </row>
        <row r="279">
          <cell r="A279">
            <v>276</v>
          </cell>
          <cell r="B279" t="str">
            <v>20112301</v>
          </cell>
          <cell r="C279" t="str">
            <v>이은지</v>
          </cell>
          <cell r="D279" t="str">
            <v>연구본부</v>
          </cell>
          <cell r="E279" t="str">
            <v>임상연구팀</v>
          </cell>
          <cell r="F279" t="str">
            <v>임상연구지원</v>
          </cell>
          <cell r="G279" t="str">
            <v>Temporary</v>
          </cell>
          <cell r="H279" t="str">
            <v>계약직</v>
          </cell>
          <cell r="I279">
            <v>44158</v>
          </cell>
          <cell r="J279">
            <v>44158</v>
          </cell>
          <cell r="K279" t="str">
            <v>계약직</v>
          </cell>
          <cell r="L279" t="str">
            <v>사무직</v>
          </cell>
          <cell r="M279" t="str">
            <v>퇴직</v>
          </cell>
          <cell r="N279" t="str">
            <v>951010-21475415</v>
          </cell>
          <cell r="O279">
            <v>34982</v>
          </cell>
          <cell r="P279" t="str">
            <v>여</v>
          </cell>
          <cell r="Q279">
            <v>31</v>
          </cell>
          <cell r="R279">
            <v>29</v>
          </cell>
          <cell r="S279" t="str">
            <v>010-5405-0665</v>
          </cell>
          <cell r="T279" t="str">
            <v>경기도 안양시 만안구 박달로 198번길 28, 우성아파트 107동 801호</v>
          </cell>
        </row>
        <row r="280">
          <cell r="A280">
            <v>277</v>
          </cell>
          <cell r="B280" t="str">
            <v>20090101</v>
          </cell>
          <cell r="C280" t="str">
            <v>이상우</v>
          </cell>
          <cell r="D280" t="str">
            <v>연구본부</v>
          </cell>
          <cell r="E280" t="str">
            <v>연구기획팀</v>
          </cell>
          <cell r="F280" t="str">
            <v>과제 등</v>
          </cell>
          <cell r="G280" t="str">
            <v>Lead</v>
          </cell>
          <cell r="H280" t="str">
            <v>멤버</v>
          </cell>
          <cell r="I280">
            <v>44075</v>
          </cell>
          <cell r="J280">
            <v>44075</v>
          </cell>
          <cell r="K280" t="str">
            <v>정규직</v>
          </cell>
          <cell r="L280" t="str">
            <v>연구직</v>
          </cell>
          <cell r="M280" t="str">
            <v>퇴직</v>
          </cell>
          <cell r="N280" t="str">
            <v>751230-1671318</v>
          </cell>
          <cell r="O280">
            <v>27758</v>
          </cell>
          <cell r="P280" t="str">
            <v>남</v>
          </cell>
          <cell r="Q280">
            <v>51</v>
          </cell>
          <cell r="R280">
            <v>49</v>
          </cell>
          <cell r="S280" t="str">
            <v>010-6267-1225</v>
          </cell>
          <cell r="T280" t="str">
            <v xml:space="preserve">서울특별시 강남구 논현로124길 8 두영아파트 503호    </v>
          </cell>
          <cell r="U280" t="str">
            <v>lsw@neurophet.com</v>
          </cell>
        </row>
        <row r="281">
          <cell r="A281">
            <v>278</v>
          </cell>
          <cell r="B281">
            <v>20110202</v>
          </cell>
          <cell r="C281" t="str">
            <v>조은경A</v>
          </cell>
          <cell r="D281" t="str">
            <v>비즈니스본부</v>
          </cell>
          <cell r="E281" t="str">
            <v>세일즈팀</v>
          </cell>
          <cell r="G281" t="str">
            <v>Member</v>
          </cell>
          <cell r="H281" t="str">
            <v>멤버</v>
          </cell>
          <cell r="I281">
            <v>44137</v>
          </cell>
          <cell r="J281">
            <v>44137</v>
          </cell>
          <cell r="K281" t="str">
            <v>정규직</v>
          </cell>
          <cell r="L281" t="str">
            <v>사무직</v>
          </cell>
          <cell r="M281" t="str">
            <v>퇴직</v>
          </cell>
          <cell r="N281" t="str">
            <v>800721-2065419</v>
          </cell>
          <cell r="O281">
            <v>29423</v>
          </cell>
          <cell r="P281" t="str">
            <v>여</v>
          </cell>
          <cell r="Q281">
            <v>46</v>
          </cell>
          <cell r="R281">
            <v>44</v>
          </cell>
          <cell r="S281" t="str">
            <v>010-2498-2721</v>
          </cell>
          <cell r="T281" t="str">
            <v>경기도 안양시 동안구 동안로 102번길 205동 1002호</v>
          </cell>
          <cell r="U281" t="str">
            <v>helencho@neurophet.com</v>
          </cell>
        </row>
        <row r="282">
          <cell r="A282">
            <v>279</v>
          </cell>
          <cell r="B282">
            <v>19060101</v>
          </cell>
          <cell r="C282" t="str">
            <v>장원재</v>
          </cell>
          <cell r="D282" t="str">
            <v>비즈니스본부</v>
          </cell>
          <cell r="E282" t="str">
            <v>세일즈팀</v>
          </cell>
          <cell r="F282" t="str">
            <v>해외영업</v>
          </cell>
          <cell r="G282" t="str">
            <v>Member</v>
          </cell>
          <cell r="H282" t="str">
            <v>멤버</v>
          </cell>
          <cell r="I282">
            <v>43617</v>
          </cell>
          <cell r="J282">
            <v>43617</v>
          </cell>
          <cell r="K282" t="str">
            <v>정규직</v>
          </cell>
          <cell r="L282" t="str">
            <v>사무직</v>
          </cell>
          <cell r="M282" t="str">
            <v>퇴직</v>
          </cell>
          <cell r="N282" t="str">
            <v>880201-1031121</v>
          </cell>
          <cell r="O282">
            <v>32174</v>
          </cell>
          <cell r="P282" t="str">
            <v>남</v>
          </cell>
          <cell r="Q282">
            <v>38</v>
          </cell>
          <cell r="R282">
            <v>37</v>
          </cell>
          <cell r="S282" t="str">
            <v>010-2722-0276</v>
          </cell>
          <cell r="T282" t="str">
            <v>서울시 양천구 목동동로 250, 목동진도2차 201동 106호</v>
          </cell>
          <cell r="U282" t="str">
            <v>wjchang@neurophet.com</v>
          </cell>
        </row>
        <row r="283">
          <cell r="A283">
            <v>280</v>
          </cell>
          <cell r="B283">
            <v>20090102</v>
          </cell>
          <cell r="C283" t="str">
            <v>안나영</v>
          </cell>
          <cell r="D283" t="str">
            <v>프로덕트본부</v>
          </cell>
          <cell r="E283" t="str">
            <v>QA팀</v>
          </cell>
          <cell r="F283" t="str">
            <v>QC</v>
          </cell>
          <cell r="G283" t="str">
            <v>Member</v>
          </cell>
          <cell r="H283" t="str">
            <v>멤버</v>
          </cell>
          <cell r="I283">
            <v>44075</v>
          </cell>
          <cell r="J283">
            <v>44075</v>
          </cell>
          <cell r="K283" t="str">
            <v>정규직</v>
          </cell>
          <cell r="L283" t="str">
            <v>연구직</v>
          </cell>
          <cell r="M283" t="str">
            <v>퇴직</v>
          </cell>
          <cell r="N283" t="str">
            <v>961002-2012821</v>
          </cell>
          <cell r="O283">
            <v>35340</v>
          </cell>
          <cell r="P283" t="str">
            <v>여</v>
          </cell>
          <cell r="Q283">
            <v>30</v>
          </cell>
          <cell r="R283">
            <v>28</v>
          </cell>
          <cell r="S283" t="str">
            <v>010-2496-9846</v>
          </cell>
          <cell r="T283" t="str">
            <v>경기도 구리시 토평동 1002-4 203호</v>
          </cell>
          <cell r="U283" t="str">
            <v>nayoung@neurophet.com</v>
          </cell>
        </row>
        <row r="284">
          <cell r="A284">
            <v>281</v>
          </cell>
          <cell r="B284">
            <v>20020103</v>
          </cell>
          <cell r="C284" t="str">
            <v>주서진</v>
          </cell>
          <cell r="D284" t="str">
            <v>프로덕트본부</v>
          </cell>
          <cell r="E284" t="str">
            <v>기획팀</v>
          </cell>
          <cell r="F284" t="str">
            <v>BX디자인</v>
          </cell>
          <cell r="G284" t="str">
            <v>Member</v>
          </cell>
          <cell r="H284" t="str">
            <v>멤버</v>
          </cell>
          <cell r="I284">
            <v>43862</v>
          </cell>
          <cell r="J284">
            <v>43862</v>
          </cell>
          <cell r="K284" t="str">
            <v>정규직</v>
          </cell>
          <cell r="L284" t="str">
            <v>연구직</v>
          </cell>
          <cell r="M284" t="str">
            <v>퇴직</v>
          </cell>
          <cell r="N284" t="str">
            <v>930927-2225017</v>
          </cell>
          <cell r="O284">
            <v>34239</v>
          </cell>
          <cell r="P284" t="str">
            <v>여</v>
          </cell>
          <cell r="Q284">
            <v>33</v>
          </cell>
          <cell r="R284">
            <v>31</v>
          </cell>
          <cell r="S284" t="str">
            <v>010-7129-3575</v>
          </cell>
          <cell r="T284" t="str">
            <v>서울시 강서구 공항대로75길 30. 102동 703호(염창동, 삼정그린코아아파트)</v>
          </cell>
          <cell r="U284" t="str">
            <v>jooszin@neurophet.com</v>
          </cell>
        </row>
        <row r="285">
          <cell r="A285">
            <v>282</v>
          </cell>
          <cell r="B285" t="str">
            <v>20021702</v>
          </cell>
          <cell r="C285" t="str">
            <v>김예은</v>
          </cell>
          <cell r="D285" t="str">
            <v>연구본부</v>
          </cell>
          <cell r="E285" t="str">
            <v>QA팀</v>
          </cell>
          <cell r="F285" t="str">
            <v>데이터검수</v>
          </cell>
          <cell r="G285" t="str">
            <v>Temporary</v>
          </cell>
          <cell r="H285" t="str">
            <v>계약직</v>
          </cell>
          <cell r="I285">
            <v>43878</v>
          </cell>
          <cell r="J285">
            <v>43878</v>
          </cell>
          <cell r="K285" t="str">
            <v>계약직</v>
          </cell>
          <cell r="L285" t="str">
            <v>사무직</v>
          </cell>
          <cell r="M285" t="str">
            <v>퇴직</v>
          </cell>
          <cell r="N285" t="str">
            <v>951222-2184716</v>
          </cell>
          <cell r="O285">
            <v>35055</v>
          </cell>
          <cell r="P285" t="str">
            <v>여</v>
          </cell>
          <cell r="Q285">
            <v>31</v>
          </cell>
          <cell r="R285">
            <v>29</v>
          </cell>
          <cell r="S285" t="str">
            <v>010-2883-3317</v>
          </cell>
          <cell r="T285" t="str">
            <v>서울시 마포구 대흥동 768-1 305호</v>
          </cell>
        </row>
        <row r="286">
          <cell r="A286">
            <v>283</v>
          </cell>
          <cell r="B286">
            <v>17052901</v>
          </cell>
          <cell r="C286" t="str">
            <v>배정환</v>
          </cell>
          <cell r="D286" t="str">
            <v>프로덕트본부</v>
          </cell>
          <cell r="E286" t="str">
            <v>Medical Web Application팀</v>
          </cell>
          <cell r="F286" t="str">
            <v>M.W.A</v>
          </cell>
          <cell r="G286" t="str">
            <v>Member</v>
          </cell>
          <cell r="H286" t="str">
            <v>멤버</v>
          </cell>
          <cell r="I286">
            <v>42884</v>
          </cell>
          <cell r="J286">
            <v>42884</v>
          </cell>
          <cell r="K286" t="str">
            <v>정규직</v>
          </cell>
          <cell r="L286" t="str">
            <v>연구직</v>
          </cell>
          <cell r="M286" t="str">
            <v>퇴직</v>
          </cell>
          <cell r="N286" t="str">
            <v>891114-1784039</v>
          </cell>
          <cell r="O286">
            <v>32826</v>
          </cell>
          <cell r="P286" t="str">
            <v>남</v>
          </cell>
          <cell r="Q286">
            <v>37</v>
          </cell>
          <cell r="R286">
            <v>35</v>
          </cell>
          <cell r="S286" t="str">
            <v>010-2585-7909</v>
          </cell>
          <cell r="T286" t="str">
            <v>서울특별시 관악구 관악로11길 27, 102호</v>
          </cell>
          <cell r="U286" t="str">
            <v>jhbaessi@neurophet.com</v>
          </cell>
        </row>
        <row r="287">
          <cell r="A287">
            <v>284</v>
          </cell>
          <cell r="B287">
            <v>19070101</v>
          </cell>
          <cell r="C287" t="str">
            <v>김다혜</v>
          </cell>
          <cell r="D287" t="str">
            <v>비즈니스본부</v>
          </cell>
          <cell r="E287" t="str">
            <v>마케팅팀</v>
          </cell>
          <cell r="F287" t="str">
            <v>마케팅</v>
          </cell>
          <cell r="G287" t="str">
            <v>Member</v>
          </cell>
          <cell r="H287" t="str">
            <v>멤버</v>
          </cell>
          <cell r="I287">
            <v>43647</v>
          </cell>
          <cell r="J287">
            <v>43647</v>
          </cell>
          <cell r="K287" t="str">
            <v>정규직</v>
          </cell>
          <cell r="L287" t="str">
            <v>사무직</v>
          </cell>
          <cell r="M287" t="str">
            <v>퇴직</v>
          </cell>
          <cell r="N287" t="str">
            <v>890210-2162718</v>
          </cell>
          <cell r="O287">
            <v>32549</v>
          </cell>
          <cell r="P287" t="str">
            <v>여</v>
          </cell>
          <cell r="Q287">
            <v>37</v>
          </cell>
          <cell r="R287">
            <v>36</v>
          </cell>
          <cell r="S287" t="str">
            <v>010-7272-4345</v>
          </cell>
          <cell r="T287" t="str">
            <v>경기도 수원시 권선구 동수원로 145번길 23, 수원아이파크시티 407동 1401호</v>
          </cell>
          <cell r="U287" t="str">
            <v>dhkim@neurophet.com</v>
          </cell>
        </row>
        <row r="288">
          <cell r="A288">
            <v>285</v>
          </cell>
          <cell r="B288">
            <v>20030105</v>
          </cell>
          <cell r="C288" t="str">
            <v>정지혜</v>
          </cell>
          <cell r="D288" t="str">
            <v>비즈니스본부</v>
          </cell>
          <cell r="E288" t="str">
            <v>브랜드커뮤니케이션</v>
          </cell>
          <cell r="F288" t="str">
            <v>마케팅</v>
          </cell>
          <cell r="G288" t="str">
            <v>Member</v>
          </cell>
          <cell r="H288" t="str">
            <v>멤버</v>
          </cell>
          <cell r="I288">
            <v>43891</v>
          </cell>
          <cell r="J288">
            <v>43891</v>
          </cell>
          <cell r="K288" t="str">
            <v>정규직</v>
          </cell>
          <cell r="L288" t="str">
            <v>사무직</v>
          </cell>
          <cell r="M288" t="str">
            <v>퇴직</v>
          </cell>
          <cell r="N288" t="str">
            <v>880118-2079428</v>
          </cell>
          <cell r="O288">
            <v>32160</v>
          </cell>
          <cell r="P288" t="str">
            <v>여</v>
          </cell>
          <cell r="Q288">
            <v>38</v>
          </cell>
          <cell r="R288">
            <v>37</v>
          </cell>
          <cell r="S288" t="str">
            <v>010-7262-0735</v>
          </cell>
          <cell r="T288" t="str">
            <v>서울시 광진구 동일로 178 캠퍼스시티 409호</v>
          </cell>
          <cell r="U288" t="str">
            <v>jhjung@neurophet.com</v>
          </cell>
        </row>
        <row r="289">
          <cell r="A289">
            <v>286</v>
          </cell>
          <cell r="B289">
            <v>18121701</v>
          </cell>
          <cell r="C289" t="str">
            <v>이정아</v>
          </cell>
          <cell r="D289" t="str">
            <v>프로덕트본부</v>
          </cell>
          <cell r="E289" t="str">
            <v>QA팀</v>
          </cell>
          <cell r="F289" t="str">
            <v>QC</v>
          </cell>
          <cell r="G289" t="str">
            <v>Lead</v>
          </cell>
          <cell r="H289" t="str">
            <v>멤버</v>
          </cell>
          <cell r="I289">
            <v>43451</v>
          </cell>
          <cell r="J289">
            <v>43451</v>
          </cell>
          <cell r="K289" t="str">
            <v>정규직</v>
          </cell>
          <cell r="L289" t="str">
            <v>연구직</v>
          </cell>
          <cell r="M289" t="str">
            <v>퇴직</v>
          </cell>
          <cell r="N289" t="str">
            <v>921202-2056531</v>
          </cell>
          <cell r="O289">
            <v>33940</v>
          </cell>
          <cell r="P289" t="str">
            <v>여</v>
          </cell>
          <cell r="Q289">
            <v>34</v>
          </cell>
          <cell r="R289">
            <v>32</v>
          </cell>
          <cell r="S289" t="str">
            <v>010-9907-0369</v>
          </cell>
          <cell r="T289" t="str">
            <v>서울시 동작구 국사봉길 73-8 202호</v>
          </cell>
          <cell r="U289" t="str">
            <v>jellyja@neurophet.com</v>
          </cell>
        </row>
        <row r="290">
          <cell r="A290">
            <v>287</v>
          </cell>
          <cell r="B290">
            <v>19030102</v>
          </cell>
          <cell r="C290" t="str">
            <v>정민영</v>
          </cell>
          <cell r="D290" t="str">
            <v>프로덕트본부</v>
          </cell>
          <cell r="E290" t="str">
            <v>AQUA</v>
          </cell>
          <cell r="F290" t="str">
            <v>Backend</v>
          </cell>
          <cell r="G290" t="str">
            <v>Lead</v>
          </cell>
          <cell r="H290" t="str">
            <v>멤버</v>
          </cell>
          <cell r="I290">
            <v>43525</v>
          </cell>
          <cell r="J290">
            <v>43525</v>
          </cell>
          <cell r="K290" t="str">
            <v>정규직</v>
          </cell>
          <cell r="L290" t="str">
            <v>연구직</v>
          </cell>
          <cell r="M290" t="str">
            <v>퇴직</v>
          </cell>
          <cell r="N290" t="str">
            <v>840910-1029420</v>
          </cell>
          <cell r="O290">
            <v>30935</v>
          </cell>
          <cell r="P290" t="str">
            <v>남</v>
          </cell>
          <cell r="Q290">
            <v>42</v>
          </cell>
          <cell r="R290">
            <v>40</v>
          </cell>
          <cell r="S290" t="str">
            <v>010-8010-4790</v>
          </cell>
          <cell r="T290" t="str">
            <v>인천 부평구 십정동 409-23 DH씨밀레 1001호</v>
          </cell>
          <cell r="U290" t="str">
            <v xml:space="preserve">minyoung.jung@neurophet.com </v>
          </cell>
        </row>
        <row r="291">
          <cell r="A291">
            <v>288</v>
          </cell>
          <cell r="B291">
            <v>19060102</v>
          </cell>
          <cell r="C291" t="str">
            <v>정신유</v>
          </cell>
          <cell r="D291" t="str">
            <v>연구본부</v>
          </cell>
          <cell r="E291" t="str">
            <v>Neuroimaging팀</v>
          </cell>
          <cell r="F291" t="str">
            <v>신경망</v>
          </cell>
          <cell r="G291" t="str">
            <v>Member</v>
          </cell>
          <cell r="H291" t="str">
            <v>멤버</v>
          </cell>
          <cell r="I291">
            <v>43626</v>
          </cell>
          <cell r="J291">
            <v>43626</v>
          </cell>
          <cell r="K291" t="str">
            <v>정규직</v>
          </cell>
          <cell r="L291" t="str">
            <v>연구직</v>
          </cell>
          <cell r="M291" t="str">
            <v>퇴직</v>
          </cell>
          <cell r="N291" t="str">
            <v>910808-1069017</v>
          </cell>
          <cell r="O291">
            <v>33458</v>
          </cell>
          <cell r="P291" t="str">
            <v>남</v>
          </cell>
          <cell r="Q291">
            <v>35</v>
          </cell>
          <cell r="R291">
            <v>33</v>
          </cell>
          <cell r="S291" t="str">
            <v>010-9557-2963</v>
          </cell>
          <cell r="T291" t="str">
            <v>서울시 관악구</v>
          </cell>
          <cell r="U291" t="str">
            <v>sinyu.jeong@neurophet.com</v>
          </cell>
        </row>
        <row r="292">
          <cell r="A292">
            <v>289</v>
          </cell>
          <cell r="B292">
            <v>19092301</v>
          </cell>
          <cell r="C292" t="str">
            <v>김한솔</v>
          </cell>
          <cell r="D292" t="str">
            <v>프로덕트본부</v>
          </cell>
          <cell r="E292" t="str">
            <v>Infra Team</v>
          </cell>
          <cell r="F292" t="str">
            <v>Frontend</v>
          </cell>
          <cell r="G292" t="str">
            <v>Member</v>
          </cell>
          <cell r="H292" t="str">
            <v>멤버</v>
          </cell>
          <cell r="I292">
            <v>43731</v>
          </cell>
          <cell r="J292">
            <v>43731</v>
          </cell>
          <cell r="K292" t="str">
            <v>정규직</v>
          </cell>
          <cell r="L292" t="str">
            <v>연구직</v>
          </cell>
          <cell r="M292" t="str">
            <v>퇴직</v>
          </cell>
          <cell r="N292" t="str">
            <v>931210-2409011</v>
          </cell>
          <cell r="O292">
            <v>34313</v>
          </cell>
          <cell r="P292" t="str">
            <v>여</v>
          </cell>
          <cell r="Q292">
            <v>33</v>
          </cell>
          <cell r="R292">
            <v>31</v>
          </cell>
          <cell r="S292" t="str">
            <v>010-2094-1210</v>
          </cell>
          <cell r="T292" t="str">
            <v>서울시 관악구 은천로 21-4 301호</v>
          </cell>
          <cell r="U292" t="str">
            <v>hs.kim@neurophet.com</v>
          </cell>
        </row>
        <row r="293">
          <cell r="A293">
            <v>290</v>
          </cell>
          <cell r="B293" t="str">
            <v>19011401</v>
          </cell>
          <cell r="C293" t="str">
            <v>박기철</v>
          </cell>
          <cell r="D293" t="str">
            <v>연구본부</v>
          </cell>
          <cell r="E293" t="str">
            <v>연구상용화</v>
          </cell>
          <cell r="F293" t="str">
            <v>C++</v>
          </cell>
          <cell r="G293" t="str">
            <v>Member</v>
          </cell>
          <cell r="H293" t="str">
            <v>멤버</v>
          </cell>
          <cell r="I293">
            <v>43479</v>
          </cell>
          <cell r="J293">
            <v>43479</v>
          </cell>
          <cell r="K293" t="str">
            <v>정규직</v>
          </cell>
          <cell r="L293" t="str">
            <v>연구직</v>
          </cell>
          <cell r="M293" t="str">
            <v>퇴직</v>
          </cell>
          <cell r="N293" t="str">
            <v>860420-1012214</v>
          </cell>
          <cell r="O293">
            <v>31522</v>
          </cell>
          <cell r="P293" t="str">
            <v>남</v>
          </cell>
          <cell r="Q293">
            <v>40</v>
          </cell>
          <cell r="R293">
            <v>38</v>
          </cell>
          <cell r="S293" t="str">
            <v xml:space="preserve">010-5284-1263 </v>
          </cell>
          <cell r="T293" t="str">
            <v>인천광역시 부평구 부평동</v>
          </cell>
          <cell r="U293" t="str">
            <v>mstst33@neurophet.com</v>
          </cell>
        </row>
        <row r="294">
          <cell r="A294">
            <v>291</v>
          </cell>
          <cell r="B294" t="str">
            <v>17090401</v>
          </cell>
          <cell r="C294" t="str">
            <v>정다운</v>
          </cell>
          <cell r="D294" t="str">
            <v>연구본부</v>
          </cell>
          <cell r="E294" t="str">
            <v>Neuroimaging팀</v>
          </cell>
          <cell r="F294" t="str">
            <v>신경망</v>
          </cell>
          <cell r="G294" t="str">
            <v>Member</v>
          </cell>
          <cell r="H294" t="str">
            <v>멤버</v>
          </cell>
          <cell r="I294">
            <v>42982</v>
          </cell>
          <cell r="J294">
            <v>42982</v>
          </cell>
          <cell r="K294" t="str">
            <v>정규직</v>
          </cell>
          <cell r="L294" t="str">
            <v>연구직</v>
          </cell>
          <cell r="M294" t="str">
            <v>퇴직</v>
          </cell>
          <cell r="N294" t="str">
            <v>990923-1236511</v>
          </cell>
          <cell r="O294">
            <v>36426</v>
          </cell>
          <cell r="P294" t="str">
            <v>남</v>
          </cell>
          <cell r="Q294">
            <v>27</v>
          </cell>
          <cell r="R294">
            <v>25</v>
          </cell>
          <cell r="S294" t="str">
            <v>010-9083-1352</v>
          </cell>
          <cell r="U294" t="str">
            <v>djjung@neurophet.com</v>
          </cell>
        </row>
        <row r="295">
          <cell r="A295">
            <v>292</v>
          </cell>
          <cell r="B295" t="str">
            <v>19030101</v>
          </cell>
          <cell r="C295" t="str">
            <v>손성진</v>
          </cell>
          <cell r="D295" t="str">
            <v>연구본부</v>
          </cell>
          <cell r="E295" t="str">
            <v>Neuroimaging팀</v>
          </cell>
          <cell r="F295" t="str">
            <v>신경망</v>
          </cell>
          <cell r="G295" t="str">
            <v>Member</v>
          </cell>
          <cell r="H295" t="str">
            <v>멤버</v>
          </cell>
          <cell r="I295">
            <v>43525</v>
          </cell>
          <cell r="J295">
            <v>43525</v>
          </cell>
          <cell r="K295" t="str">
            <v>정규직</v>
          </cell>
          <cell r="L295" t="str">
            <v>연구직</v>
          </cell>
          <cell r="M295" t="str">
            <v>퇴직</v>
          </cell>
          <cell r="N295" t="str">
            <v>881002-1157415</v>
          </cell>
          <cell r="O295">
            <v>32418</v>
          </cell>
          <cell r="P295" t="str">
            <v>남</v>
          </cell>
          <cell r="Q295">
            <v>38</v>
          </cell>
          <cell r="R295">
            <v>36</v>
          </cell>
          <cell r="S295" t="str">
            <v>010-5267-6853</v>
          </cell>
          <cell r="U295" t="str">
            <v>sjson@neurophet.com</v>
          </cell>
        </row>
        <row r="296">
          <cell r="A296">
            <v>293</v>
          </cell>
          <cell r="B296" t="str">
            <v>19020101</v>
          </cell>
          <cell r="C296" t="str">
            <v>김선직</v>
          </cell>
          <cell r="D296" t="str">
            <v>연구본부</v>
          </cell>
          <cell r="E296" t="str">
            <v>Neuroimaging팀</v>
          </cell>
          <cell r="F296" t="str">
            <v>데이터</v>
          </cell>
          <cell r="G296" t="str">
            <v>Member</v>
          </cell>
          <cell r="H296" t="str">
            <v>멤버</v>
          </cell>
          <cell r="I296">
            <v>43497</v>
          </cell>
          <cell r="J296">
            <v>43497</v>
          </cell>
          <cell r="K296" t="str">
            <v>정규직</v>
          </cell>
          <cell r="L296" t="str">
            <v>연구직</v>
          </cell>
          <cell r="M296" t="str">
            <v>퇴직</v>
          </cell>
          <cell r="N296" t="str">
            <v>920604-1683215</v>
          </cell>
          <cell r="O296">
            <v>33759</v>
          </cell>
          <cell r="P296" t="str">
            <v>남</v>
          </cell>
          <cell r="Q296">
            <v>34</v>
          </cell>
          <cell r="R296">
            <v>32</v>
          </cell>
          <cell r="S296" t="str">
            <v>010-2065-8297</v>
          </cell>
          <cell r="U296" t="str">
            <v>beelinekim@neurophet.com</v>
          </cell>
        </row>
        <row r="297">
          <cell r="A297">
            <v>294</v>
          </cell>
          <cell r="B297">
            <v>17101701</v>
          </cell>
          <cell r="C297" t="str">
            <v>용정현</v>
          </cell>
          <cell r="D297" t="str">
            <v>연구본부</v>
          </cell>
          <cell r="E297" t="str">
            <v>TechOps팀</v>
          </cell>
          <cell r="F297" t="str">
            <v>데이터검수</v>
          </cell>
          <cell r="G297" t="str">
            <v>Member</v>
          </cell>
          <cell r="H297" t="str">
            <v>멤버</v>
          </cell>
          <cell r="I297">
            <v>43040</v>
          </cell>
          <cell r="J297">
            <v>43040</v>
          </cell>
          <cell r="K297" t="str">
            <v>계약직</v>
          </cell>
          <cell r="L297" t="str">
            <v>연구직</v>
          </cell>
          <cell r="M297" t="str">
            <v>퇴직</v>
          </cell>
          <cell r="N297" t="str">
            <v>940721-1047112</v>
          </cell>
          <cell r="O297">
            <v>34536</v>
          </cell>
          <cell r="P297" t="str">
            <v>남</v>
          </cell>
          <cell r="Q297">
            <v>32</v>
          </cell>
          <cell r="R297">
            <v>30</v>
          </cell>
          <cell r="S297" t="str">
            <v>010-2274-5871</v>
          </cell>
          <cell r="T297" t="str">
            <v>서울특별시 강남구 삼성로69길 41, 102호</v>
          </cell>
          <cell r="U297" t="str">
            <v>yong@neurophet.com</v>
          </cell>
        </row>
        <row r="298">
          <cell r="A298">
            <v>295</v>
          </cell>
          <cell r="B298" t="str">
            <v>19101701</v>
          </cell>
          <cell r="C298" t="str">
            <v>손석현</v>
          </cell>
          <cell r="D298" t="str">
            <v>연구본부</v>
          </cell>
          <cell r="E298" t="str">
            <v>임상연구팀</v>
          </cell>
          <cell r="F298" t="str">
            <v>임상시험 및 업무지원</v>
          </cell>
          <cell r="G298" t="str">
            <v>Temporary</v>
          </cell>
          <cell r="H298" t="str">
            <v>계약직</v>
          </cell>
          <cell r="I298">
            <v>43755</v>
          </cell>
          <cell r="J298">
            <v>43755</v>
          </cell>
          <cell r="K298" t="str">
            <v>계약직</v>
          </cell>
          <cell r="L298" t="str">
            <v>사무직</v>
          </cell>
          <cell r="M298" t="str">
            <v>퇴직</v>
          </cell>
          <cell r="N298" t="str">
            <v>970505-1178518</v>
          </cell>
          <cell r="O298">
            <v>35555</v>
          </cell>
          <cell r="P298" t="str">
            <v>남</v>
          </cell>
          <cell r="Q298">
            <v>29</v>
          </cell>
          <cell r="R298">
            <v>27</v>
          </cell>
          <cell r="S298" t="str">
            <v>010-7756-7650</v>
          </cell>
          <cell r="T298" t="str">
            <v>경기도 수원시 영통구 인계로 189번길 14</v>
          </cell>
        </row>
        <row r="299">
          <cell r="A299">
            <v>296</v>
          </cell>
          <cell r="B299" t="str">
            <v>17060501</v>
          </cell>
          <cell r="C299" t="str">
            <v>김이진</v>
          </cell>
          <cell r="D299" t="str">
            <v>경영본부</v>
          </cell>
          <cell r="E299" t="str">
            <v>운영전략팀</v>
          </cell>
          <cell r="F299" t="str">
            <v>인사</v>
          </cell>
          <cell r="G299" t="str">
            <v>Member</v>
          </cell>
          <cell r="H299" t="str">
            <v>멤버</v>
          </cell>
          <cell r="I299">
            <v>42891</v>
          </cell>
          <cell r="J299">
            <v>42891</v>
          </cell>
          <cell r="K299" t="str">
            <v>정규직</v>
          </cell>
          <cell r="L299" t="str">
            <v>사무직</v>
          </cell>
          <cell r="M299" t="str">
            <v>퇴직</v>
          </cell>
          <cell r="N299" t="str">
            <v>910927-2148916</v>
          </cell>
          <cell r="O299">
            <v>33508</v>
          </cell>
          <cell r="P299" t="str">
            <v>여</v>
          </cell>
          <cell r="Q299">
            <v>35</v>
          </cell>
          <cell r="R299">
            <v>33</v>
          </cell>
          <cell r="S299" t="str">
            <v>010-2501-9829</v>
          </cell>
          <cell r="U299" t="str">
            <v>yijin.kim@neurophet.com</v>
          </cell>
        </row>
        <row r="300">
          <cell r="A300">
            <v>297</v>
          </cell>
          <cell r="B300">
            <v>19062400</v>
          </cell>
          <cell r="C300" t="str">
            <v>김현수..</v>
          </cell>
          <cell r="D300" t="str">
            <v>연구본부</v>
          </cell>
          <cell r="E300" t="str">
            <v>임상연구팀</v>
          </cell>
          <cell r="F300" t="str">
            <v>임상시험 및 업무지원</v>
          </cell>
          <cell r="G300" t="str">
            <v>Temporary</v>
          </cell>
          <cell r="H300" t="str">
            <v>계약직</v>
          </cell>
          <cell r="I300">
            <v>43640</v>
          </cell>
          <cell r="J300">
            <v>43640</v>
          </cell>
          <cell r="K300" t="str">
            <v>계약직</v>
          </cell>
          <cell r="L300" t="str">
            <v>사무직</v>
          </cell>
          <cell r="M300" t="str">
            <v>퇴직</v>
          </cell>
          <cell r="N300" t="str">
            <v>991019-1235224</v>
          </cell>
          <cell r="O300">
            <v>36452</v>
          </cell>
          <cell r="P300" t="str">
            <v>남</v>
          </cell>
          <cell r="Q300">
            <v>27</v>
          </cell>
          <cell r="R300">
            <v>25</v>
          </cell>
          <cell r="S300" t="str">
            <v>010-8911-8732</v>
          </cell>
          <cell r="T300" t="str">
            <v>서울특별시 성동구 둘레19길 5 강변임광아파트 101동 907호</v>
          </cell>
          <cell r="U300" t="str">
            <v>khs@neurophet.com</v>
          </cell>
        </row>
        <row r="301">
          <cell r="A301">
            <v>298</v>
          </cell>
          <cell r="B301" t="str">
            <v>18090101</v>
          </cell>
          <cell r="C301" t="str">
            <v>노승택</v>
          </cell>
          <cell r="D301" t="str">
            <v>경영본부</v>
          </cell>
          <cell r="E301" t="str">
            <v>운영전략팀</v>
          </cell>
          <cell r="G301" t="str">
            <v>Lead</v>
          </cell>
          <cell r="H301" t="str">
            <v>멤버</v>
          </cell>
          <cell r="I301">
            <v>43344</v>
          </cell>
          <cell r="J301">
            <v>43344</v>
          </cell>
          <cell r="K301" t="str">
            <v>정규직</v>
          </cell>
          <cell r="L301" t="str">
            <v>사무직</v>
          </cell>
          <cell r="M301" t="str">
            <v>퇴직</v>
          </cell>
          <cell r="N301" t="str">
            <v>760819-1029722</v>
          </cell>
          <cell r="O301">
            <v>27991</v>
          </cell>
          <cell r="P301" t="str">
            <v>남</v>
          </cell>
          <cell r="Q301">
            <v>50</v>
          </cell>
          <cell r="R301">
            <v>48</v>
          </cell>
        </row>
        <row r="302">
          <cell r="A302">
            <v>299</v>
          </cell>
          <cell r="B302" t="str">
            <v>19021801</v>
          </cell>
          <cell r="C302" t="str">
            <v>문하영</v>
          </cell>
          <cell r="D302" t="str">
            <v>경영본부</v>
          </cell>
          <cell r="E302" t="str">
            <v>운영전략팀</v>
          </cell>
          <cell r="F302" t="str">
            <v>Sales&amp;Marketing</v>
          </cell>
          <cell r="G302" t="str">
            <v>Member</v>
          </cell>
          <cell r="H302" t="str">
            <v>멤버</v>
          </cell>
          <cell r="I302">
            <v>43514</v>
          </cell>
          <cell r="J302">
            <v>43514</v>
          </cell>
          <cell r="K302" t="str">
            <v>정규직</v>
          </cell>
          <cell r="L302" t="str">
            <v>사무직</v>
          </cell>
          <cell r="M302" t="str">
            <v>퇴직</v>
          </cell>
          <cell r="N302" t="str">
            <v>710425-2691017</v>
          </cell>
          <cell r="O302">
            <v>26048</v>
          </cell>
          <cell r="P302" t="str">
            <v>여</v>
          </cell>
          <cell r="Q302">
            <v>55</v>
          </cell>
          <cell r="R302">
            <v>53</v>
          </cell>
        </row>
        <row r="303">
          <cell r="A303">
            <v>300</v>
          </cell>
          <cell r="B303">
            <v>19031901</v>
          </cell>
          <cell r="C303" t="str">
            <v>정우진</v>
          </cell>
          <cell r="D303" t="str">
            <v>연구본부</v>
          </cell>
          <cell r="E303" t="str">
            <v>임상연구팀</v>
          </cell>
          <cell r="F303" t="str">
            <v>임상시험 및 업무지원</v>
          </cell>
          <cell r="G303" t="str">
            <v>Temporary</v>
          </cell>
          <cell r="H303" t="str">
            <v>계약직</v>
          </cell>
          <cell r="I303">
            <v>43543</v>
          </cell>
          <cell r="J303">
            <v>43543</v>
          </cell>
          <cell r="K303" t="str">
            <v>계약직</v>
          </cell>
          <cell r="L303" t="str">
            <v>사무직</v>
          </cell>
          <cell r="M303" t="str">
            <v>퇴직</v>
          </cell>
          <cell r="N303" t="str">
            <v>950522-1051813</v>
          </cell>
          <cell r="O303">
            <v>34841</v>
          </cell>
          <cell r="P303" t="str">
            <v>남</v>
          </cell>
          <cell r="Q303">
            <v>31</v>
          </cell>
          <cell r="R303">
            <v>29</v>
          </cell>
          <cell r="S303" t="str">
            <v>010-2050-4289</v>
          </cell>
        </row>
        <row r="304">
          <cell r="A304">
            <v>301</v>
          </cell>
          <cell r="B304" t="str">
            <v>18030101</v>
          </cell>
          <cell r="C304" t="str">
            <v>강성욱</v>
          </cell>
          <cell r="D304" t="str">
            <v>경영본부</v>
          </cell>
          <cell r="E304" t="str">
            <v>운영전략팀</v>
          </cell>
          <cell r="F304" t="str">
            <v>CBO</v>
          </cell>
          <cell r="G304" t="str">
            <v>CBO</v>
          </cell>
          <cell r="H304" t="str">
            <v>C-LEVEL</v>
          </cell>
          <cell r="I304">
            <v>43160</v>
          </cell>
          <cell r="J304">
            <v>43160</v>
          </cell>
          <cell r="K304" t="str">
            <v>정규직</v>
          </cell>
          <cell r="L304" t="str">
            <v>사무직</v>
          </cell>
          <cell r="M304" t="str">
            <v>퇴직</v>
          </cell>
          <cell r="N304" t="str">
            <v>840625-1009227</v>
          </cell>
          <cell r="O304">
            <v>30858</v>
          </cell>
          <cell r="P304" t="str">
            <v>남</v>
          </cell>
          <cell r="Q304">
            <v>42</v>
          </cell>
          <cell r="R304">
            <v>40</v>
          </cell>
        </row>
        <row r="305">
          <cell r="A305">
            <v>302</v>
          </cell>
          <cell r="B305" t="str">
            <v>18031201</v>
          </cell>
          <cell r="C305" t="str">
            <v>고봉석</v>
          </cell>
          <cell r="D305" t="str">
            <v>연구본부</v>
          </cell>
          <cell r="E305" t="str">
            <v>연구개발팀</v>
          </cell>
          <cell r="F305" t="str">
            <v>엔진고도라</v>
          </cell>
          <cell r="G305" t="str">
            <v>Member</v>
          </cell>
          <cell r="H305" t="str">
            <v>멤버</v>
          </cell>
          <cell r="I305">
            <v>43171</v>
          </cell>
          <cell r="J305">
            <v>43171</v>
          </cell>
          <cell r="K305" t="str">
            <v>정규직</v>
          </cell>
          <cell r="L305" t="str">
            <v>사무직</v>
          </cell>
          <cell r="M305" t="str">
            <v>퇴직</v>
          </cell>
          <cell r="N305" t="str">
            <v>930705-1019014</v>
          </cell>
          <cell r="O305">
            <v>34155</v>
          </cell>
          <cell r="P305" t="str">
            <v>남</v>
          </cell>
          <cell r="Q305">
            <v>33</v>
          </cell>
          <cell r="R305">
            <v>31</v>
          </cell>
        </row>
        <row r="306">
          <cell r="A306">
            <v>303</v>
          </cell>
          <cell r="B306" t="str">
            <v>18011101</v>
          </cell>
          <cell r="C306" t="str">
            <v>이준호</v>
          </cell>
          <cell r="D306" t="str">
            <v>연구본부</v>
          </cell>
          <cell r="E306" t="str">
            <v>신경망</v>
          </cell>
          <cell r="G306" t="str">
            <v>Member</v>
          </cell>
          <cell r="H306" t="str">
            <v>멤버</v>
          </cell>
          <cell r="I306">
            <v>43111</v>
          </cell>
          <cell r="J306">
            <v>43111</v>
          </cell>
          <cell r="K306" t="str">
            <v>정규직</v>
          </cell>
          <cell r="L306" t="str">
            <v>연구직</v>
          </cell>
          <cell r="M306" t="str">
            <v>퇴직</v>
          </cell>
          <cell r="N306" t="str">
            <v>880104-1675519</v>
          </cell>
          <cell r="O306">
            <v>32146</v>
          </cell>
          <cell r="P306" t="str">
            <v>남</v>
          </cell>
          <cell r="Q306">
            <v>38</v>
          </cell>
          <cell r="R306">
            <v>37</v>
          </cell>
        </row>
        <row r="307">
          <cell r="A307">
            <v>304</v>
          </cell>
          <cell r="B307" t="str">
            <v>17052901</v>
          </cell>
          <cell r="C307" t="str">
            <v>송성오</v>
          </cell>
          <cell r="D307" t="str">
            <v>연구본부</v>
          </cell>
          <cell r="F307" t="str">
            <v>sw개발지원</v>
          </cell>
          <cell r="G307" t="str">
            <v>Member</v>
          </cell>
          <cell r="H307" t="str">
            <v>멤버</v>
          </cell>
          <cell r="I307">
            <v>42884</v>
          </cell>
          <cell r="J307">
            <v>42884</v>
          </cell>
          <cell r="K307" t="str">
            <v>정규직</v>
          </cell>
          <cell r="L307" t="str">
            <v>연구직</v>
          </cell>
          <cell r="M307" t="str">
            <v>퇴직</v>
          </cell>
          <cell r="N307" t="str">
            <v>890116-1162818</v>
          </cell>
          <cell r="O307">
            <v>32524</v>
          </cell>
          <cell r="P307" t="str">
            <v>남</v>
          </cell>
          <cell r="Q307">
            <v>37</v>
          </cell>
          <cell r="R307">
            <v>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405F-0EEF-4E92-9DE7-266A9CE50088}">
  <sheetPr codeName="Sheet1"/>
  <dimension ref="A1:AB1215"/>
  <sheetViews>
    <sheetView showGridLines="0" tabSelected="1" topLeftCell="D1" zoomScale="70" zoomScaleNormal="70" workbookViewId="0">
      <pane ySplit="1" topLeftCell="A186" activePane="bottomLeft" state="frozen"/>
      <selection activeCell="D1" sqref="D1"/>
      <selection pane="bottomLeft" activeCell="AB186" sqref="AB186"/>
    </sheetView>
  </sheetViews>
  <sheetFormatPr defaultRowHeight="16.5" x14ac:dyDescent="0.3"/>
  <cols>
    <col min="1" max="1" width="8" style="6" customWidth="1"/>
    <col min="2" max="2" width="15" style="6" customWidth="1"/>
    <col min="3" max="3" width="16.875" style="6" customWidth="1"/>
    <col min="4" max="4" width="0.125" style="6" customWidth="1"/>
    <col min="5" max="5" width="9.375" style="6" customWidth="1"/>
    <col min="6" max="6" width="17.125" style="6" hidden="1" customWidth="1"/>
    <col min="7" max="7" width="13.75" style="6" customWidth="1"/>
    <col min="8" max="8" width="14.125" style="6" customWidth="1"/>
    <col min="9" max="9" width="15" style="6" customWidth="1"/>
    <col min="10" max="10" width="13" style="6" bestFit="1" customWidth="1"/>
    <col min="11" max="11" width="13.5" style="6" hidden="1" customWidth="1"/>
    <col min="12" max="12" width="12.125" style="6" customWidth="1"/>
    <col min="13" max="13" width="9.875" style="6" hidden="1" customWidth="1"/>
    <col min="14" max="14" width="11.625" style="6" customWidth="1"/>
    <col min="15" max="15" width="18.5" style="6" customWidth="1"/>
    <col min="16" max="16" width="18.625" style="6" customWidth="1"/>
    <col min="17" max="17" width="13" style="6" hidden="1" customWidth="1"/>
    <col min="18" max="18" width="11.75" style="6" hidden="1" customWidth="1"/>
    <col min="19" max="19" width="12.875" style="6" hidden="1" customWidth="1"/>
    <col min="20" max="20" width="29.125" style="6" customWidth="1"/>
    <col min="21" max="21" width="23" style="7" bestFit="1" customWidth="1"/>
    <col min="22" max="22" width="6" style="6" customWidth="1"/>
    <col min="23" max="23" width="9.875" style="9" customWidth="1"/>
    <col min="24" max="24" width="10.25" style="6" customWidth="1"/>
    <col min="25" max="25" width="11" style="6" customWidth="1"/>
    <col min="26" max="27" width="39.25" style="6" customWidth="1"/>
    <col min="28" max="28" width="30" style="6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4" t="s">
        <v>22</v>
      </c>
      <c r="X1" s="5" t="s">
        <v>23</v>
      </c>
      <c r="Y1" s="5" t="s">
        <v>24</v>
      </c>
      <c r="Z1" s="5" t="s">
        <v>1285</v>
      </c>
      <c r="AA1" s="5"/>
      <c r="AB1" s="5" t="s">
        <v>1290</v>
      </c>
    </row>
    <row r="2" spans="1:28" x14ac:dyDescent="0.3">
      <c r="A2" s="6">
        <f>SUBTOTAL(3,$I$2:I2)*1</f>
        <v>1</v>
      </c>
      <c r="B2" s="21" t="s">
        <v>26</v>
      </c>
      <c r="C2" s="6" t="s">
        <v>27</v>
      </c>
      <c r="D2" s="6">
        <v>1</v>
      </c>
      <c r="E2" s="6" t="s">
        <v>28</v>
      </c>
      <c r="F2" s="6">
        <v>0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T2" s="6" t="s">
        <v>39</v>
      </c>
      <c r="U2" s="7">
        <f t="shared" ref="U2:U65" si="0">DATEVALUE(LEFT(C2,10))</f>
        <v>45687</v>
      </c>
      <c r="V2" s="6">
        <f t="shared" ref="V2:V65" si="1">WEEKNUM(U2,21)</f>
        <v>5</v>
      </c>
      <c r="W2" s="8" t="str">
        <f t="shared" ref="W2:W65" si="2">MID(C2,12,5)</f>
        <v>08:55</v>
      </c>
      <c r="X2" s="8" t="str">
        <f t="shared" ref="X2:X65" si="3">MID(C2,32,5)</f>
        <v>14:00</v>
      </c>
      <c r="Y2" s="9">
        <f t="shared" ref="Y2:Y65" si="4">X2-W2</f>
        <v>0.21180555555555558</v>
      </c>
      <c r="Z2" s="22" t="str">
        <f t="shared" ref="Z2" si="5">TEXT(U2, "YYYY-MM-DD aaa")&amp;" ("&amp;TEXT(W2, "hh:mm")&amp;"~"&amp;TEXT(X2, "hh:mm")&amp;") : "&amp;IF(MINUTE(Y2)=0, TEXT(Y2, "h시간"), TEXT(Y2, "h시간 m분"))</f>
        <v>2025-01-30 목 (08:55~14:00) : 5시간 5분</v>
      </c>
      <c r="AA2" s="22"/>
      <c r="AB2" s="6" t="str">
        <f ca="1">_xlfn.XLOOKUP(I2, 기초데이터!$C$2:$C$305, 기초데이터!$U$2:$U$305)</f>
        <v>kgy@neurophet.com</v>
      </c>
    </row>
    <row r="3" spans="1:28" x14ac:dyDescent="0.3">
      <c r="A3" s="6">
        <f>SUBTOTAL(3,$I$2:I3)*1</f>
        <v>2</v>
      </c>
      <c r="B3" s="21" t="s">
        <v>26</v>
      </c>
      <c r="C3" s="6" t="s">
        <v>40</v>
      </c>
      <c r="D3" s="6">
        <v>1</v>
      </c>
      <c r="E3" s="6" t="s">
        <v>41</v>
      </c>
      <c r="F3" s="6">
        <v>0</v>
      </c>
      <c r="G3" s="6" t="s">
        <v>42</v>
      </c>
      <c r="H3" s="6" t="s">
        <v>30</v>
      </c>
      <c r="I3" s="6" t="s">
        <v>43</v>
      </c>
      <c r="J3" s="6" t="s">
        <v>44</v>
      </c>
      <c r="K3" s="6" t="s">
        <v>33</v>
      </c>
      <c r="L3" s="6" t="s">
        <v>34</v>
      </c>
      <c r="M3" s="6" t="s">
        <v>35</v>
      </c>
      <c r="N3" s="6" t="s">
        <v>45</v>
      </c>
      <c r="O3" s="6" t="s">
        <v>46</v>
      </c>
      <c r="P3" s="6" t="s">
        <v>47</v>
      </c>
      <c r="T3" s="6" t="s">
        <v>48</v>
      </c>
      <c r="U3" s="7">
        <f t="shared" si="0"/>
        <v>45687</v>
      </c>
      <c r="V3" s="6">
        <f t="shared" si="1"/>
        <v>5</v>
      </c>
      <c r="W3" s="8" t="str">
        <f t="shared" si="2"/>
        <v>15:36</v>
      </c>
      <c r="X3" s="8" t="str">
        <f t="shared" si="3"/>
        <v>17:55</v>
      </c>
      <c r="Y3" s="9">
        <f t="shared" si="4"/>
        <v>9.6527777777777768E-2</v>
      </c>
      <c r="Z3" s="22" t="str">
        <f t="shared" ref="Z3:Z66" si="6">TEXT(U3, "YYYY-MM-DD aaa")&amp;" ("&amp;TEXT(W3, "hh:mm")&amp;"~"&amp;TEXT(X3, "hh:mm")&amp;") : "&amp;IF(MINUTE(Y3)=0, TEXT(Y3, "h시간"), TEXT(Y3, "h시간 m분"))</f>
        <v>2025-01-30 목 (15:36~17:55) : 2시간 19분</v>
      </c>
      <c r="AA3" s="22"/>
      <c r="AB3" s="6" t="str">
        <f ca="1">_xlfn.XLOOKUP(I3, 기초데이터!$C$2:$C$305, 기초데이터!$U$2:$U$305)</f>
        <v>jsy@neurophet.com</v>
      </c>
    </row>
    <row r="4" spans="1:28" x14ac:dyDescent="0.3">
      <c r="A4" s="6">
        <f>SUBTOTAL(3,$I$2:I4)*1</f>
        <v>3</v>
      </c>
      <c r="B4" s="21" t="s">
        <v>26</v>
      </c>
      <c r="C4" s="6" t="s">
        <v>49</v>
      </c>
      <c r="D4" s="6">
        <v>1</v>
      </c>
      <c r="E4" s="6" t="s">
        <v>50</v>
      </c>
      <c r="F4" s="6">
        <v>0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  <c r="O4" s="6" t="s">
        <v>37</v>
      </c>
      <c r="P4" s="6" t="s">
        <v>38</v>
      </c>
      <c r="T4" s="6" t="s">
        <v>51</v>
      </c>
      <c r="U4" s="7">
        <f t="shared" si="0"/>
        <v>45686</v>
      </c>
      <c r="V4" s="6">
        <f t="shared" si="1"/>
        <v>5</v>
      </c>
      <c r="W4" s="8" t="str">
        <f t="shared" si="2"/>
        <v>08:30</v>
      </c>
      <c r="X4" s="8" t="str">
        <f t="shared" si="3"/>
        <v>11:10</v>
      </c>
      <c r="Y4" s="9">
        <f t="shared" si="4"/>
        <v>0.1111111111111111</v>
      </c>
      <c r="Z4" s="22" t="str">
        <f t="shared" si="6"/>
        <v>2025-01-29 수 (08:30~11:10) : 2시간 40분</v>
      </c>
      <c r="AA4" s="22"/>
      <c r="AB4" s="6" t="str">
        <f ca="1">_xlfn.XLOOKUP(I4, 기초데이터!$C$2:$C$305, 기초데이터!$U$2:$U$305)</f>
        <v>kgy@neurophet.com</v>
      </c>
    </row>
    <row r="5" spans="1:28" x14ac:dyDescent="0.3">
      <c r="A5" s="6">
        <f>SUBTOTAL(3,$I$2:I5)*1</f>
        <v>4</v>
      </c>
      <c r="B5" s="21" t="s">
        <v>26</v>
      </c>
      <c r="C5" s="6" t="s">
        <v>52</v>
      </c>
      <c r="D5" s="6">
        <v>1</v>
      </c>
      <c r="E5" s="6" t="s">
        <v>53</v>
      </c>
      <c r="F5" s="6">
        <v>0</v>
      </c>
      <c r="G5" s="6" t="s">
        <v>42</v>
      </c>
      <c r="H5" s="6" t="s">
        <v>30</v>
      </c>
      <c r="I5" s="6" t="s">
        <v>43</v>
      </c>
      <c r="J5" s="6" t="s">
        <v>44</v>
      </c>
      <c r="K5" s="6" t="s">
        <v>33</v>
      </c>
      <c r="L5" s="6" t="s">
        <v>34</v>
      </c>
      <c r="M5" s="6" t="s">
        <v>35</v>
      </c>
      <c r="N5" s="6" t="s">
        <v>45</v>
      </c>
      <c r="O5" s="6" t="s">
        <v>46</v>
      </c>
      <c r="P5" s="6" t="s">
        <v>47</v>
      </c>
      <c r="T5" s="6" t="s">
        <v>48</v>
      </c>
      <c r="U5" s="7">
        <f t="shared" si="0"/>
        <v>45686</v>
      </c>
      <c r="V5" s="6">
        <f t="shared" si="1"/>
        <v>5</v>
      </c>
      <c r="W5" s="8" t="str">
        <f t="shared" si="2"/>
        <v>15:53</v>
      </c>
      <c r="X5" s="8" t="str">
        <f t="shared" si="3"/>
        <v>19:53</v>
      </c>
      <c r="Y5" s="9">
        <f t="shared" si="4"/>
        <v>0.16666666666666674</v>
      </c>
      <c r="Z5" s="22" t="str">
        <f t="shared" si="6"/>
        <v>2025-01-29 수 (15:53~19:53) : 4시간</v>
      </c>
      <c r="AA5" s="22"/>
      <c r="AB5" s="6" t="str">
        <f ca="1">_xlfn.XLOOKUP(I5, 기초데이터!$C$2:$C$305, 기초데이터!$U$2:$U$305)</f>
        <v>jsy@neurophet.com</v>
      </c>
    </row>
    <row r="6" spans="1:28" x14ac:dyDescent="0.3">
      <c r="A6" s="6">
        <f>SUBTOTAL(3,$I$2:I6)*1</f>
        <v>5</v>
      </c>
      <c r="B6" s="21" t="s">
        <v>26</v>
      </c>
      <c r="C6" s="6" t="s">
        <v>54</v>
      </c>
      <c r="D6" s="6">
        <v>1</v>
      </c>
      <c r="E6" s="6" t="s">
        <v>55</v>
      </c>
      <c r="F6" s="6">
        <v>0</v>
      </c>
      <c r="G6" s="6" t="s">
        <v>29</v>
      </c>
      <c r="H6" s="6" t="s">
        <v>56</v>
      </c>
      <c r="I6" s="6" t="s">
        <v>57</v>
      </c>
      <c r="J6" s="6" t="s">
        <v>58</v>
      </c>
      <c r="K6" s="6" t="s">
        <v>33</v>
      </c>
      <c r="L6" s="6" t="s">
        <v>34</v>
      </c>
      <c r="M6" s="6" t="s">
        <v>35</v>
      </c>
      <c r="N6" s="6" t="s">
        <v>45</v>
      </c>
      <c r="O6" s="6" t="s">
        <v>59</v>
      </c>
      <c r="P6" s="6" t="s">
        <v>60</v>
      </c>
      <c r="T6" s="6" t="s">
        <v>61</v>
      </c>
      <c r="U6" s="7">
        <f t="shared" si="0"/>
        <v>45686</v>
      </c>
      <c r="V6" s="6">
        <f t="shared" si="1"/>
        <v>5</v>
      </c>
      <c r="W6" s="8" t="str">
        <f t="shared" si="2"/>
        <v>21:30</v>
      </c>
      <c r="X6" s="8" t="str">
        <f t="shared" si="3"/>
        <v>23:59</v>
      </c>
      <c r="Y6" s="9">
        <f t="shared" si="4"/>
        <v>0.10347222222222219</v>
      </c>
      <c r="Z6" s="22" t="str">
        <f t="shared" si="6"/>
        <v>2025-01-29 수 (21:30~23:59) : 2시간 29분</v>
      </c>
      <c r="AA6" s="22"/>
      <c r="AB6" s="6" t="str">
        <f ca="1">_xlfn.XLOOKUP(I6, 기초데이터!$C$2:$C$305, 기초데이터!$U$2:$U$305)</f>
        <v>hsyang@neurophet.com</v>
      </c>
    </row>
    <row r="7" spans="1:28" x14ac:dyDescent="0.3">
      <c r="A7" s="6">
        <f>SUBTOTAL(3,$I$2:I7)*1</f>
        <v>6</v>
      </c>
      <c r="B7" s="21" t="s">
        <v>26</v>
      </c>
      <c r="C7" s="6" t="s">
        <v>62</v>
      </c>
      <c r="D7" s="6">
        <v>1</v>
      </c>
      <c r="E7" s="6" t="s">
        <v>63</v>
      </c>
      <c r="F7" s="6">
        <v>0</v>
      </c>
      <c r="G7" s="6" t="s">
        <v>29</v>
      </c>
      <c r="H7" s="6" t="s">
        <v>30</v>
      </c>
      <c r="I7" s="6" t="s">
        <v>64</v>
      </c>
      <c r="J7" s="6" t="s">
        <v>65</v>
      </c>
      <c r="K7" s="6" t="s">
        <v>33</v>
      </c>
      <c r="L7" s="6" t="s">
        <v>34</v>
      </c>
      <c r="M7" s="6" t="s">
        <v>35</v>
      </c>
      <c r="N7" s="6" t="s">
        <v>45</v>
      </c>
      <c r="O7" s="6" t="s">
        <v>66</v>
      </c>
      <c r="P7" s="6" t="s">
        <v>67</v>
      </c>
      <c r="T7" s="6" t="s">
        <v>68</v>
      </c>
      <c r="U7" s="7">
        <f t="shared" si="0"/>
        <v>45686</v>
      </c>
      <c r="V7" s="6">
        <f t="shared" si="1"/>
        <v>5</v>
      </c>
      <c r="W7" s="8" t="str">
        <f t="shared" si="2"/>
        <v>21:00</v>
      </c>
      <c r="X7" s="8" t="str">
        <f t="shared" si="3"/>
        <v>23:59</v>
      </c>
      <c r="Y7" s="9">
        <f t="shared" si="4"/>
        <v>0.12430555555555556</v>
      </c>
      <c r="Z7" s="22" t="str">
        <f t="shared" si="6"/>
        <v>2025-01-29 수 (21:00~23:59) : 2시간 59분</v>
      </c>
      <c r="AA7" s="22"/>
      <c r="AB7" s="6" t="str">
        <f ca="1">_xlfn.XLOOKUP(I7, 기초데이터!$C$2:$C$305, 기초데이터!$U$2:$U$305)</f>
        <v>doyeon@neurophet.com</v>
      </c>
    </row>
    <row r="8" spans="1:28" x14ac:dyDescent="0.3">
      <c r="A8" s="6">
        <f>SUBTOTAL(3,$I$2:I8)*1</f>
        <v>7</v>
      </c>
      <c r="B8" s="21" t="s">
        <v>26</v>
      </c>
      <c r="C8" s="6" t="s">
        <v>69</v>
      </c>
      <c r="D8" s="6">
        <v>1</v>
      </c>
      <c r="E8" s="6" t="s">
        <v>70</v>
      </c>
      <c r="F8" s="6">
        <v>0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 t="s">
        <v>35</v>
      </c>
      <c r="N8" s="6" t="s">
        <v>36</v>
      </c>
      <c r="O8" s="6" t="s">
        <v>37</v>
      </c>
      <c r="P8" s="6" t="s">
        <v>38</v>
      </c>
      <c r="T8" s="6" t="s">
        <v>71</v>
      </c>
      <c r="U8" s="7">
        <f t="shared" si="0"/>
        <v>45685</v>
      </c>
      <c r="V8" s="6">
        <f t="shared" si="1"/>
        <v>5</v>
      </c>
      <c r="W8" s="8" t="str">
        <f t="shared" si="2"/>
        <v>09:40</v>
      </c>
      <c r="X8" s="8" t="str">
        <f t="shared" si="3"/>
        <v>12:50</v>
      </c>
      <c r="Y8" s="9">
        <f t="shared" si="4"/>
        <v>0.13194444444444442</v>
      </c>
      <c r="Z8" s="22" t="str">
        <f t="shared" si="6"/>
        <v>2025-01-28 화 (09:40~12:50) : 3시간 10분</v>
      </c>
      <c r="AA8" s="22"/>
      <c r="AB8" s="6" t="str">
        <f ca="1">_xlfn.XLOOKUP(I8, 기초데이터!$C$2:$C$305, 기초데이터!$U$2:$U$305)</f>
        <v>kgy@neurophet.com</v>
      </c>
    </row>
    <row r="9" spans="1:28" x14ac:dyDescent="0.3">
      <c r="A9" s="6">
        <f>SUBTOTAL(3,$I$2:I9)*1</f>
        <v>8</v>
      </c>
      <c r="B9" s="21" t="s">
        <v>26</v>
      </c>
      <c r="C9" s="6" t="s">
        <v>72</v>
      </c>
      <c r="D9" s="6">
        <v>1</v>
      </c>
      <c r="E9" s="6" t="s">
        <v>73</v>
      </c>
      <c r="F9" s="6">
        <v>0</v>
      </c>
      <c r="G9" s="6" t="s">
        <v>42</v>
      </c>
      <c r="H9" s="6" t="s">
        <v>30</v>
      </c>
      <c r="I9" s="6" t="s">
        <v>43</v>
      </c>
      <c r="J9" s="6" t="s">
        <v>44</v>
      </c>
      <c r="K9" s="6" t="s">
        <v>33</v>
      </c>
      <c r="L9" s="6" t="s">
        <v>34</v>
      </c>
      <c r="M9" s="6" t="s">
        <v>35</v>
      </c>
      <c r="N9" s="6" t="s">
        <v>45</v>
      </c>
      <c r="O9" s="6" t="s">
        <v>46</v>
      </c>
      <c r="P9" s="6" t="s">
        <v>47</v>
      </c>
      <c r="T9" s="6" t="s">
        <v>48</v>
      </c>
      <c r="U9" s="7">
        <f t="shared" si="0"/>
        <v>45685</v>
      </c>
      <c r="V9" s="6">
        <f t="shared" si="1"/>
        <v>5</v>
      </c>
      <c r="W9" s="8" t="str">
        <f t="shared" si="2"/>
        <v>19:12</v>
      </c>
      <c r="X9" s="8" t="str">
        <f t="shared" si="3"/>
        <v>22:06</v>
      </c>
      <c r="Y9" s="9">
        <f t="shared" si="4"/>
        <v>0.12083333333333324</v>
      </c>
      <c r="Z9" s="22" t="str">
        <f t="shared" si="6"/>
        <v>2025-01-28 화 (19:12~22:06) : 2시간 54분</v>
      </c>
      <c r="AA9" s="22"/>
      <c r="AB9" s="6" t="str">
        <f ca="1">_xlfn.XLOOKUP(I9, 기초데이터!$C$2:$C$305, 기초데이터!$U$2:$U$305)</f>
        <v>jsy@neurophet.com</v>
      </c>
    </row>
    <row r="10" spans="1:28" x14ac:dyDescent="0.3">
      <c r="A10" s="6">
        <f>SUBTOTAL(3,$I$2:I10)*1</f>
        <v>9</v>
      </c>
      <c r="B10" s="21" t="s">
        <v>26</v>
      </c>
      <c r="C10" s="6" t="s">
        <v>74</v>
      </c>
      <c r="D10" s="6">
        <v>1</v>
      </c>
      <c r="E10" s="6" t="s">
        <v>53</v>
      </c>
      <c r="F10" s="6">
        <v>0</v>
      </c>
      <c r="G10" s="6" t="s">
        <v>29</v>
      </c>
      <c r="H10" s="6" t="s">
        <v>56</v>
      </c>
      <c r="I10" s="6" t="s">
        <v>57</v>
      </c>
      <c r="J10" s="6" t="s">
        <v>58</v>
      </c>
      <c r="K10" s="6" t="s">
        <v>33</v>
      </c>
      <c r="L10" s="6" t="s">
        <v>34</v>
      </c>
      <c r="M10" s="6" t="s">
        <v>35</v>
      </c>
      <c r="N10" s="6" t="s">
        <v>45</v>
      </c>
      <c r="O10" s="6" t="s">
        <v>59</v>
      </c>
      <c r="P10" s="6" t="s">
        <v>60</v>
      </c>
      <c r="T10" s="6" t="s">
        <v>75</v>
      </c>
      <c r="U10" s="7">
        <f t="shared" si="0"/>
        <v>45685</v>
      </c>
      <c r="V10" s="6">
        <f t="shared" si="1"/>
        <v>5</v>
      </c>
      <c r="W10" s="8" t="str">
        <f t="shared" si="2"/>
        <v>10:50</v>
      </c>
      <c r="X10" s="8" t="str">
        <f t="shared" si="3"/>
        <v>14:50</v>
      </c>
      <c r="Y10" s="9">
        <f t="shared" si="4"/>
        <v>0.16666666666666669</v>
      </c>
      <c r="Z10" s="22" t="str">
        <f t="shared" si="6"/>
        <v>2025-01-28 화 (10:50~14:50) : 4시간</v>
      </c>
      <c r="AA10" s="22"/>
      <c r="AB10" s="6" t="str">
        <f ca="1">_xlfn.XLOOKUP(I10, 기초데이터!$C$2:$C$305, 기초데이터!$U$2:$U$305)</f>
        <v>hsyang@neurophet.com</v>
      </c>
    </row>
    <row r="11" spans="1:28" x14ac:dyDescent="0.3">
      <c r="A11" s="6">
        <f>SUBTOTAL(3,$I$2:I11)*1</f>
        <v>10</v>
      </c>
      <c r="B11" s="21" t="s">
        <v>26</v>
      </c>
      <c r="C11" s="6" t="s">
        <v>76</v>
      </c>
      <c r="D11" s="6">
        <v>1</v>
      </c>
      <c r="E11" s="6" t="s">
        <v>77</v>
      </c>
      <c r="F11" s="6">
        <v>0</v>
      </c>
      <c r="G11" s="6" t="s">
        <v>29</v>
      </c>
      <c r="H11" s="6" t="s">
        <v>30</v>
      </c>
      <c r="I11" s="6" t="s">
        <v>64</v>
      </c>
      <c r="J11" s="6" t="s">
        <v>65</v>
      </c>
      <c r="K11" s="6" t="s">
        <v>33</v>
      </c>
      <c r="L11" s="6" t="s">
        <v>34</v>
      </c>
      <c r="M11" s="6" t="s">
        <v>35</v>
      </c>
      <c r="N11" s="6" t="s">
        <v>45</v>
      </c>
      <c r="O11" s="6" t="s">
        <v>66</v>
      </c>
      <c r="P11" s="6" t="s">
        <v>67</v>
      </c>
      <c r="T11" s="6" t="s">
        <v>78</v>
      </c>
      <c r="U11" s="7">
        <f t="shared" si="0"/>
        <v>45685</v>
      </c>
      <c r="V11" s="6">
        <f t="shared" si="1"/>
        <v>5</v>
      </c>
      <c r="W11" s="8" t="str">
        <f t="shared" si="2"/>
        <v>11:40</v>
      </c>
      <c r="X11" s="8" t="str">
        <f t="shared" si="3"/>
        <v>16:40</v>
      </c>
      <c r="Y11" s="9">
        <f t="shared" si="4"/>
        <v>0.20833333333333331</v>
      </c>
      <c r="Z11" s="22" t="str">
        <f t="shared" si="6"/>
        <v>2025-01-28 화 (11:40~16:40) : 5시간</v>
      </c>
      <c r="AA11" s="22"/>
      <c r="AB11" s="6" t="str">
        <f ca="1">_xlfn.XLOOKUP(I11, 기초데이터!$C$2:$C$305, 기초데이터!$U$2:$U$305)</f>
        <v>doyeon@neurophet.com</v>
      </c>
    </row>
    <row r="12" spans="1:28" x14ac:dyDescent="0.3">
      <c r="A12" s="6">
        <f>SUBTOTAL(3,$I$2:I12)*1</f>
        <v>11</v>
      </c>
      <c r="B12" s="21" t="s">
        <v>26</v>
      </c>
      <c r="C12" s="6" t="s">
        <v>79</v>
      </c>
      <c r="D12" s="6">
        <v>1</v>
      </c>
      <c r="E12" s="6" t="s">
        <v>80</v>
      </c>
      <c r="F12" s="6">
        <v>0</v>
      </c>
      <c r="G12" s="6" t="s">
        <v>42</v>
      </c>
      <c r="H12" s="6" t="s">
        <v>30</v>
      </c>
      <c r="I12" s="6" t="s">
        <v>81</v>
      </c>
      <c r="J12" s="6" t="s">
        <v>82</v>
      </c>
      <c r="K12" s="6" t="s">
        <v>33</v>
      </c>
      <c r="L12" s="6" t="s">
        <v>34</v>
      </c>
      <c r="M12" s="6" t="s">
        <v>35</v>
      </c>
      <c r="N12" s="6" t="s">
        <v>83</v>
      </c>
      <c r="O12" s="6" t="s">
        <v>84</v>
      </c>
      <c r="P12" s="6" t="s">
        <v>85</v>
      </c>
      <c r="T12" s="6" t="s">
        <v>86</v>
      </c>
      <c r="U12" s="7">
        <f t="shared" si="0"/>
        <v>45684</v>
      </c>
      <c r="V12" s="6">
        <f t="shared" si="1"/>
        <v>5</v>
      </c>
      <c r="W12" s="8" t="str">
        <f t="shared" si="2"/>
        <v>10:06</v>
      </c>
      <c r="X12" s="8" t="str">
        <f t="shared" si="3"/>
        <v>15:47</v>
      </c>
      <c r="Y12" s="9">
        <f t="shared" si="4"/>
        <v>0.23680555555555555</v>
      </c>
      <c r="Z12" s="22" t="str">
        <f t="shared" si="6"/>
        <v>2025-01-27 월 (10:06~15:47) : 5시간 41분</v>
      </c>
      <c r="AA12" s="22"/>
      <c r="AB12" s="6" t="str">
        <f ca="1">_xlfn.XLOOKUP(I12, 기초데이터!$C$2:$C$305, 기초데이터!$U$2:$U$305)</f>
        <v>dahyun@neurophet.com</v>
      </c>
    </row>
    <row r="13" spans="1:28" x14ac:dyDescent="0.3">
      <c r="A13" s="6">
        <f>SUBTOTAL(3,$I$2:I13)*1</f>
        <v>12</v>
      </c>
      <c r="B13" s="21" t="s">
        <v>26</v>
      </c>
      <c r="C13" s="6" t="s">
        <v>87</v>
      </c>
      <c r="D13" s="6">
        <v>1</v>
      </c>
      <c r="E13" s="6" t="s">
        <v>41</v>
      </c>
      <c r="F13" s="6">
        <v>0</v>
      </c>
      <c r="G13" s="6" t="s">
        <v>29</v>
      </c>
      <c r="H13" s="6" t="s">
        <v>56</v>
      </c>
      <c r="I13" s="6" t="s">
        <v>57</v>
      </c>
      <c r="J13" s="6" t="s">
        <v>58</v>
      </c>
      <c r="K13" s="6" t="s">
        <v>33</v>
      </c>
      <c r="L13" s="6" t="s">
        <v>34</v>
      </c>
      <c r="M13" s="6" t="s">
        <v>35</v>
      </c>
      <c r="N13" s="6" t="s">
        <v>45</v>
      </c>
      <c r="O13" s="6" t="s">
        <v>59</v>
      </c>
      <c r="P13" s="6" t="s">
        <v>60</v>
      </c>
      <c r="T13" s="6" t="s">
        <v>88</v>
      </c>
      <c r="U13" s="7">
        <f t="shared" si="0"/>
        <v>45684</v>
      </c>
      <c r="V13" s="6">
        <f t="shared" si="1"/>
        <v>5</v>
      </c>
      <c r="W13" s="8" t="str">
        <f t="shared" si="2"/>
        <v>14:00</v>
      </c>
      <c r="X13" s="8" t="str">
        <f t="shared" si="3"/>
        <v>16:20</v>
      </c>
      <c r="Y13" s="9">
        <f t="shared" si="4"/>
        <v>9.722222222222221E-2</v>
      </c>
      <c r="Z13" s="22" t="str">
        <f t="shared" si="6"/>
        <v>2025-01-27 월 (14:00~16:20) : 2시간 20분</v>
      </c>
      <c r="AA13" s="22"/>
      <c r="AB13" s="6" t="str">
        <f ca="1">_xlfn.XLOOKUP(I13, 기초데이터!$C$2:$C$305, 기초데이터!$U$2:$U$305)</f>
        <v>hsyang@neurophet.com</v>
      </c>
    </row>
    <row r="14" spans="1:28" x14ac:dyDescent="0.3">
      <c r="A14" s="6">
        <f>SUBTOTAL(3,$I$2:I14)*1</f>
        <v>13</v>
      </c>
      <c r="B14" s="21" t="s">
        <v>26</v>
      </c>
      <c r="C14" s="6" t="s">
        <v>89</v>
      </c>
      <c r="D14" s="6">
        <v>1</v>
      </c>
      <c r="E14" s="6" t="s">
        <v>90</v>
      </c>
      <c r="F14" s="6">
        <v>0</v>
      </c>
      <c r="G14" s="6" t="s">
        <v>29</v>
      </c>
      <c r="H14" s="6" t="s">
        <v>30</v>
      </c>
      <c r="I14" s="6" t="s">
        <v>64</v>
      </c>
      <c r="J14" s="6" t="s">
        <v>65</v>
      </c>
      <c r="K14" s="6" t="s">
        <v>33</v>
      </c>
      <c r="L14" s="6" t="s">
        <v>34</v>
      </c>
      <c r="M14" s="6" t="s">
        <v>35</v>
      </c>
      <c r="N14" s="6" t="s">
        <v>45</v>
      </c>
      <c r="O14" s="6" t="s">
        <v>66</v>
      </c>
      <c r="P14" s="6" t="s">
        <v>67</v>
      </c>
      <c r="T14" s="6" t="s">
        <v>91</v>
      </c>
      <c r="U14" s="7">
        <f t="shared" si="0"/>
        <v>45684</v>
      </c>
      <c r="V14" s="6">
        <f t="shared" si="1"/>
        <v>5</v>
      </c>
      <c r="W14" s="8" t="str">
        <f t="shared" si="2"/>
        <v>19:00</v>
      </c>
      <c r="X14" s="8" t="str">
        <f t="shared" si="3"/>
        <v>23:05</v>
      </c>
      <c r="Y14" s="9">
        <f t="shared" si="4"/>
        <v>0.17013888888888895</v>
      </c>
      <c r="Z14" s="22" t="str">
        <f t="shared" si="6"/>
        <v>2025-01-27 월 (19:00~23:05) : 4시간 5분</v>
      </c>
      <c r="AA14" s="22"/>
      <c r="AB14" s="6" t="str">
        <f ca="1">_xlfn.XLOOKUP(I14, 기초데이터!$C$2:$C$305, 기초데이터!$U$2:$U$305)</f>
        <v>doyeon@neurophet.com</v>
      </c>
    </row>
    <row r="15" spans="1:28" x14ac:dyDescent="0.3">
      <c r="A15" s="6">
        <f>SUBTOTAL(3,$I$2:I15)*1</f>
        <v>14</v>
      </c>
      <c r="B15" s="21" t="s">
        <v>26</v>
      </c>
      <c r="C15" s="6" t="s">
        <v>92</v>
      </c>
      <c r="D15" s="6">
        <v>1</v>
      </c>
      <c r="E15" s="6" t="s">
        <v>93</v>
      </c>
      <c r="F15" s="6">
        <v>0</v>
      </c>
      <c r="G15" s="6" t="s">
        <v>42</v>
      </c>
      <c r="H15" s="6" t="s">
        <v>56</v>
      </c>
      <c r="I15" s="6" t="s">
        <v>94</v>
      </c>
      <c r="J15" s="6" t="s">
        <v>95</v>
      </c>
      <c r="K15" s="6" t="s">
        <v>33</v>
      </c>
      <c r="L15" s="6" t="s">
        <v>34</v>
      </c>
      <c r="M15" s="6" t="s">
        <v>35</v>
      </c>
      <c r="N15" s="6" t="s">
        <v>96</v>
      </c>
      <c r="O15" s="6" t="s">
        <v>97</v>
      </c>
      <c r="P15" s="6" t="s">
        <v>98</v>
      </c>
      <c r="T15" s="6" t="s">
        <v>99</v>
      </c>
      <c r="U15" s="7">
        <f t="shared" si="0"/>
        <v>45683</v>
      </c>
      <c r="V15" s="6">
        <f t="shared" si="1"/>
        <v>4</v>
      </c>
      <c r="W15" s="8" t="str">
        <f t="shared" si="2"/>
        <v>20:26</v>
      </c>
      <c r="X15" s="8" t="str">
        <f t="shared" si="3"/>
        <v>23:30</v>
      </c>
      <c r="Y15" s="9">
        <f t="shared" si="4"/>
        <v>0.12777777777777777</v>
      </c>
      <c r="Z15" s="22" t="str">
        <f t="shared" si="6"/>
        <v>2025-01-26 일 (20:26~23:30) : 3시간 4분</v>
      </c>
      <c r="AA15" s="22"/>
      <c r="AB15" s="6" t="str">
        <f ca="1">_xlfn.XLOOKUP(I15, 기초데이터!$C$2:$C$305, 기초데이터!$U$2:$U$305)</f>
        <v>clarence@neurophet.com</v>
      </c>
    </row>
    <row r="16" spans="1:28" x14ac:dyDescent="0.3">
      <c r="A16" s="6">
        <f>SUBTOTAL(3,$I$2:I16)*1</f>
        <v>15</v>
      </c>
      <c r="B16" s="21" t="s">
        <v>26</v>
      </c>
      <c r="C16" s="6" t="s">
        <v>100</v>
      </c>
      <c r="D16" s="6">
        <v>1</v>
      </c>
      <c r="E16" s="6" t="s">
        <v>101</v>
      </c>
      <c r="F16" s="6">
        <v>0</v>
      </c>
      <c r="G16" s="6" t="s">
        <v>42</v>
      </c>
      <c r="H16" s="6" t="s">
        <v>30</v>
      </c>
      <c r="I16" s="6" t="s">
        <v>43</v>
      </c>
      <c r="J16" s="6" t="s">
        <v>44</v>
      </c>
      <c r="K16" s="6" t="s">
        <v>33</v>
      </c>
      <c r="L16" s="6" t="s">
        <v>34</v>
      </c>
      <c r="M16" s="6" t="s">
        <v>35</v>
      </c>
      <c r="N16" s="6" t="s">
        <v>45</v>
      </c>
      <c r="O16" s="6" t="s">
        <v>46</v>
      </c>
      <c r="P16" s="6" t="s">
        <v>47</v>
      </c>
      <c r="T16" s="6" t="s">
        <v>48</v>
      </c>
      <c r="U16" s="7">
        <f t="shared" si="0"/>
        <v>45683</v>
      </c>
      <c r="V16" s="6">
        <f t="shared" si="1"/>
        <v>4</v>
      </c>
      <c r="W16" s="8" t="str">
        <f t="shared" si="2"/>
        <v>16:45</v>
      </c>
      <c r="X16" s="8" t="str">
        <f t="shared" si="3"/>
        <v>19:31</v>
      </c>
      <c r="Y16" s="9">
        <f t="shared" si="4"/>
        <v>0.11527777777777781</v>
      </c>
      <c r="Z16" s="22" t="str">
        <f t="shared" si="6"/>
        <v>2025-01-26 일 (16:45~19:31) : 2시간 46분</v>
      </c>
      <c r="AA16" s="22"/>
      <c r="AB16" s="6" t="str">
        <f ca="1">_xlfn.XLOOKUP(I16, 기초데이터!$C$2:$C$305, 기초데이터!$U$2:$U$305)</f>
        <v>jsy@neurophet.com</v>
      </c>
    </row>
    <row r="17" spans="1:28" x14ac:dyDescent="0.3">
      <c r="A17" s="6">
        <f>SUBTOTAL(3,$I$2:I17)*1</f>
        <v>16</v>
      </c>
      <c r="B17" s="21" t="s">
        <v>26</v>
      </c>
      <c r="C17" s="6" t="s">
        <v>102</v>
      </c>
      <c r="D17" s="6">
        <v>1</v>
      </c>
      <c r="E17" s="6" t="s">
        <v>63</v>
      </c>
      <c r="F17" s="6">
        <v>0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34</v>
      </c>
      <c r="M17" s="6" t="s">
        <v>35</v>
      </c>
      <c r="N17" s="6" t="s">
        <v>36</v>
      </c>
      <c r="O17" s="6" t="s">
        <v>103</v>
      </c>
      <c r="P17" s="6" t="s">
        <v>104</v>
      </c>
      <c r="T17" s="6" t="s">
        <v>105</v>
      </c>
      <c r="U17" s="7">
        <f t="shared" si="0"/>
        <v>45682</v>
      </c>
      <c r="V17" s="6">
        <f t="shared" si="1"/>
        <v>4</v>
      </c>
      <c r="W17" s="8" t="str">
        <f t="shared" si="2"/>
        <v>07:25</v>
      </c>
      <c r="X17" s="8" t="str">
        <f t="shared" si="3"/>
        <v>10:25</v>
      </c>
      <c r="Y17" s="9">
        <f t="shared" si="4"/>
        <v>0.125</v>
      </c>
      <c r="Z17" s="22" t="str">
        <f t="shared" si="6"/>
        <v>2025-01-25 토 (07:25~10:25) : 3시간</v>
      </c>
      <c r="AA17" s="22"/>
      <c r="AB17" s="6" t="str">
        <f ca="1">_xlfn.XLOOKUP(I17, 기초데이터!$C$2:$C$305, 기초데이터!$U$2:$U$305)</f>
        <v>kgy@neurophet.com</v>
      </c>
    </row>
    <row r="18" spans="1:28" x14ac:dyDescent="0.3">
      <c r="A18" s="6">
        <f>SUBTOTAL(3,$I$2:I18)*1</f>
        <v>17</v>
      </c>
      <c r="B18" s="21" t="s">
        <v>26</v>
      </c>
      <c r="C18" s="6" t="s">
        <v>106</v>
      </c>
      <c r="D18" s="6">
        <v>1</v>
      </c>
      <c r="E18" s="6" t="s">
        <v>107</v>
      </c>
      <c r="F18" s="6">
        <v>0</v>
      </c>
      <c r="G18" s="6" t="s">
        <v>42</v>
      </c>
      <c r="H18" s="6" t="s">
        <v>30</v>
      </c>
      <c r="I18" s="6" t="s">
        <v>81</v>
      </c>
      <c r="J18" s="6" t="s">
        <v>82</v>
      </c>
      <c r="K18" s="6" t="s">
        <v>33</v>
      </c>
      <c r="L18" s="6" t="s">
        <v>34</v>
      </c>
      <c r="M18" s="6" t="s">
        <v>35</v>
      </c>
      <c r="N18" s="6" t="s">
        <v>83</v>
      </c>
      <c r="O18" s="6" t="s">
        <v>84</v>
      </c>
      <c r="P18" s="6" t="s">
        <v>85</v>
      </c>
      <c r="T18" s="6" t="s">
        <v>108</v>
      </c>
      <c r="U18" s="7">
        <f t="shared" si="0"/>
        <v>45682</v>
      </c>
      <c r="V18" s="6">
        <f t="shared" si="1"/>
        <v>4</v>
      </c>
      <c r="W18" s="8" t="str">
        <f t="shared" si="2"/>
        <v>13:08</v>
      </c>
      <c r="X18" s="8" t="str">
        <f t="shared" si="3"/>
        <v>16:25</v>
      </c>
      <c r="Y18" s="9">
        <f t="shared" si="4"/>
        <v>0.13680555555555551</v>
      </c>
      <c r="Z18" s="22" t="str">
        <f t="shared" si="6"/>
        <v>2025-01-25 토 (13:08~16:25) : 3시간 17분</v>
      </c>
      <c r="AA18" s="22"/>
      <c r="AB18" s="6" t="str">
        <f ca="1">_xlfn.XLOOKUP(I18, 기초데이터!$C$2:$C$305, 기초데이터!$U$2:$U$305)</f>
        <v>dahyun@neurophet.com</v>
      </c>
    </row>
    <row r="19" spans="1:28" x14ac:dyDescent="0.3">
      <c r="A19" s="6">
        <f>SUBTOTAL(3,$I$2:I19)*1</f>
        <v>18</v>
      </c>
      <c r="B19" s="21" t="s">
        <v>26</v>
      </c>
      <c r="C19" s="6" t="s">
        <v>109</v>
      </c>
      <c r="D19" s="6">
        <v>1</v>
      </c>
      <c r="E19" s="6" t="s">
        <v>110</v>
      </c>
      <c r="F19" s="6">
        <v>0</v>
      </c>
      <c r="G19" s="6" t="s">
        <v>111</v>
      </c>
      <c r="H19" s="6" t="s">
        <v>30</v>
      </c>
      <c r="I19" s="6" t="s">
        <v>112</v>
      </c>
      <c r="J19" s="6" t="s">
        <v>113</v>
      </c>
      <c r="K19" s="6" t="s">
        <v>33</v>
      </c>
      <c r="L19" s="6" t="s">
        <v>34</v>
      </c>
      <c r="M19" s="6" t="s">
        <v>35</v>
      </c>
      <c r="N19" s="6" t="s">
        <v>36</v>
      </c>
      <c r="O19" s="6" t="s">
        <v>114</v>
      </c>
      <c r="P19" s="6" t="s">
        <v>115</v>
      </c>
      <c r="T19" s="6" t="s">
        <v>116</v>
      </c>
      <c r="U19" s="7">
        <f t="shared" si="0"/>
        <v>45681</v>
      </c>
      <c r="V19" s="6">
        <f t="shared" si="1"/>
        <v>4</v>
      </c>
      <c r="W19" s="8" t="str">
        <f t="shared" si="2"/>
        <v>11:30</v>
      </c>
      <c r="X19" s="8" t="str">
        <f t="shared" si="3"/>
        <v>18:07</v>
      </c>
      <c r="Y19" s="9">
        <f t="shared" si="4"/>
        <v>0.27569444444444441</v>
      </c>
      <c r="Z19" s="22" t="str">
        <f t="shared" si="6"/>
        <v>2025-01-24 금 (11:30~18:07) : 6시간 37분</v>
      </c>
      <c r="AA19" s="22"/>
      <c r="AB19" s="6" t="str">
        <f ca="1">_xlfn.XLOOKUP(I19, 기초데이터!$C$2:$C$305, 기초데이터!$U$2:$U$305)</f>
        <v>mshyun@neurophet.com</v>
      </c>
    </row>
    <row r="20" spans="1:28" x14ac:dyDescent="0.3">
      <c r="A20" s="6">
        <f>SUBTOTAL(3,$I$2:I20)*1</f>
        <v>19</v>
      </c>
      <c r="B20" s="21" t="s">
        <v>26</v>
      </c>
      <c r="C20" s="6" t="s">
        <v>117</v>
      </c>
      <c r="D20" s="6">
        <v>1</v>
      </c>
      <c r="E20" s="6" t="s">
        <v>118</v>
      </c>
      <c r="F20" s="6">
        <v>0</v>
      </c>
      <c r="G20" s="6" t="s">
        <v>119</v>
      </c>
      <c r="H20" s="6" t="s">
        <v>30</v>
      </c>
      <c r="I20" s="6" t="s">
        <v>120</v>
      </c>
      <c r="J20" s="6" t="s">
        <v>121</v>
      </c>
      <c r="K20" s="6" t="s">
        <v>33</v>
      </c>
      <c r="L20" s="6" t="s">
        <v>34</v>
      </c>
      <c r="M20" s="6" t="s">
        <v>35</v>
      </c>
      <c r="N20" s="6" t="s">
        <v>36</v>
      </c>
      <c r="O20" s="6" t="s">
        <v>122</v>
      </c>
      <c r="P20" s="6" t="s">
        <v>123</v>
      </c>
      <c r="T20" s="6" t="s">
        <v>124</v>
      </c>
      <c r="U20" s="7">
        <f t="shared" si="0"/>
        <v>45680</v>
      </c>
      <c r="V20" s="6">
        <f t="shared" si="1"/>
        <v>4</v>
      </c>
      <c r="W20" s="8" t="str">
        <f t="shared" si="2"/>
        <v>16:00</v>
      </c>
      <c r="X20" s="8" t="str">
        <f t="shared" si="3"/>
        <v>17:00</v>
      </c>
      <c r="Y20" s="9">
        <f t="shared" si="4"/>
        <v>4.1666666666666741E-2</v>
      </c>
      <c r="Z20" s="22" t="str">
        <f t="shared" si="6"/>
        <v>2025-01-23 목 (16:00~17:00) : 1시간</v>
      </c>
      <c r="AA20" s="22"/>
      <c r="AB20" s="6" t="str">
        <f ca="1">_xlfn.XLOOKUP(I20, 기초데이터!$C$2:$C$305, 기초데이터!$U$2:$U$305)</f>
        <v>iypark@neurophet.com</v>
      </c>
    </row>
    <row r="21" spans="1:28" x14ac:dyDescent="0.3">
      <c r="A21" s="6">
        <f>SUBTOTAL(3,$I$2:I21)*1</f>
        <v>20</v>
      </c>
      <c r="B21" s="21" t="s">
        <v>26</v>
      </c>
      <c r="C21" s="6" t="s">
        <v>125</v>
      </c>
      <c r="D21" s="6">
        <v>1</v>
      </c>
      <c r="E21" s="6" t="s">
        <v>63</v>
      </c>
      <c r="F21" s="6">
        <v>0</v>
      </c>
      <c r="G21" s="6" t="s">
        <v>111</v>
      </c>
      <c r="H21" s="6" t="s">
        <v>30</v>
      </c>
      <c r="I21" s="6" t="s">
        <v>112</v>
      </c>
      <c r="J21" s="6" t="s">
        <v>113</v>
      </c>
      <c r="K21" s="6" t="s">
        <v>33</v>
      </c>
      <c r="L21" s="6" t="s">
        <v>34</v>
      </c>
      <c r="M21" s="6" t="s">
        <v>35</v>
      </c>
      <c r="N21" s="6" t="s">
        <v>36</v>
      </c>
      <c r="O21" s="6" t="s">
        <v>114</v>
      </c>
      <c r="P21" s="6" t="s">
        <v>115</v>
      </c>
      <c r="T21" s="6" t="s">
        <v>126</v>
      </c>
      <c r="U21" s="7">
        <f t="shared" si="0"/>
        <v>45679</v>
      </c>
      <c r="V21" s="6">
        <f t="shared" si="1"/>
        <v>4</v>
      </c>
      <c r="W21" s="8" t="str">
        <f t="shared" si="2"/>
        <v>16:47</v>
      </c>
      <c r="X21" s="8" t="str">
        <f t="shared" si="3"/>
        <v>19:50</v>
      </c>
      <c r="Y21" s="9">
        <f t="shared" si="4"/>
        <v>0.12708333333333333</v>
      </c>
      <c r="Z21" s="22" t="str">
        <f t="shared" si="6"/>
        <v>2025-01-22 수 (16:47~19:50) : 3시간 3분</v>
      </c>
      <c r="AA21" s="22"/>
      <c r="AB21" s="6" t="str">
        <f ca="1">_xlfn.XLOOKUP(I21, 기초데이터!$C$2:$C$305, 기초데이터!$U$2:$U$305)</f>
        <v>mshyun@neurophet.com</v>
      </c>
    </row>
    <row r="22" spans="1:28" x14ac:dyDescent="0.3">
      <c r="A22" s="6">
        <f>SUBTOTAL(3,$I$2:I22)*1</f>
        <v>21</v>
      </c>
      <c r="B22" s="21" t="s">
        <v>26</v>
      </c>
      <c r="C22" s="6" t="s">
        <v>127</v>
      </c>
      <c r="D22" s="6">
        <v>1</v>
      </c>
      <c r="E22" s="6" t="s">
        <v>128</v>
      </c>
      <c r="F22" s="6">
        <v>0</v>
      </c>
      <c r="G22" s="6" t="s">
        <v>29</v>
      </c>
      <c r="H22" s="6" t="s">
        <v>30</v>
      </c>
      <c r="I22" s="6" t="s">
        <v>64</v>
      </c>
      <c r="J22" s="6" t="s">
        <v>65</v>
      </c>
      <c r="K22" s="6" t="s">
        <v>33</v>
      </c>
      <c r="L22" s="6" t="s">
        <v>34</v>
      </c>
      <c r="M22" s="6" t="s">
        <v>35</v>
      </c>
      <c r="N22" s="6" t="s">
        <v>45</v>
      </c>
      <c r="O22" s="6" t="s">
        <v>66</v>
      </c>
      <c r="P22" s="6" t="s">
        <v>67</v>
      </c>
      <c r="T22" s="6" t="s">
        <v>129</v>
      </c>
      <c r="U22" s="7">
        <f t="shared" si="0"/>
        <v>45678</v>
      </c>
      <c r="V22" s="6">
        <f t="shared" si="1"/>
        <v>4</v>
      </c>
      <c r="W22" s="8" t="str">
        <f t="shared" si="2"/>
        <v>16:09</v>
      </c>
      <c r="X22" s="8" t="str">
        <f t="shared" si="3"/>
        <v>18:12</v>
      </c>
      <c r="Y22" s="9">
        <f t="shared" si="4"/>
        <v>8.5416666666666585E-2</v>
      </c>
      <c r="Z22" s="22" t="str">
        <f t="shared" si="6"/>
        <v>2025-01-21 화 (16:09~18:12) : 2시간 3분</v>
      </c>
      <c r="AA22" s="22"/>
      <c r="AB22" s="6" t="str">
        <f ca="1">_xlfn.XLOOKUP(I22, 기초데이터!$C$2:$C$305, 기초데이터!$U$2:$U$305)</f>
        <v>doyeon@neurophet.com</v>
      </c>
    </row>
    <row r="23" spans="1:28" x14ac:dyDescent="0.3">
      <c r="A23" s="6">
        <f>SUBTOTAL(3,$I$2:I23)*1</f>
        <v>22</v>
      </c>
      <c r="B23" s="21" t="s">
        <v>26</v>
      </c>
      <c r="C23" s="6" t="s">
        <v>130</v>
      </c>
      <c r="D23" s="6">
        <v>1</v>
      </c>
      <c r="E23" s="6" t="s">
        <v>128</v>
      </c>
      <c r="F23" s="6">
        <v>0</v>
      </c>
      <c r="G23" s="6" t="s">
        <v>131</v>
      </c>
      <c r="H23" s="6" t="s">
        <v>56</v>
      </c>
      <c r="I23" s="6" t="s">
        <v>132</v>
      </c>
      <c r="J23" s="6" t="s">
        <v>133</v>
      </c>
      <c r="K23" s="6" t="s">
        <v>33</v>
      </c>
      <c r="L23" s="6" t="s">
        <v>34</v>
      </c>
      <c r="M23" s="6" t="s">
        <v>35</v>
      </c>
      <c r="N23" s="6" t="s">
        <v>134</v>
      </c>
      <c r="O23" s="6" t="s">
        <v>135</v>
      </c>
      <c r="P23" s="6" t="s">
        <v>136</v>
      </c>
      <c r="T23" s="6" t="s">
        <v>137</v>
      </c>
      <c r="U23" s="7">
        <f t="shared" si="0"/>
        <v>45677</v>
      </c>
      <c r="V23" s="6">
        <f t="shared" si="1"/>
        <v>4</v>
      </c>
      <c r="W23" s="8" t="str">
        <f t="shared" si="2"/>
        <v>17:30</v>
      </c>
      <c r="X23" s="8" t="str">
        <f t="shared" si="3"/>
        <v>19:30</v>
      </c>
      <c r="Y23" s="9">
        <f t="shared" si="4"/>
        <v>8.333333333333337E-2</v>
      </c>
      <c r="Z23" s="22" t="str">
        <f t="shared" si="6"/>
        <v>2025-01-20 월 (17:30~19:30) : 2시간</v>
      </c>
      <c r="AA23" s="22"/>
      <c r="AB23" s="6" t="str">
        <f ca="1">_xlfn.XLOOKUP(I23, 기초데이터!$C$2:$C$305, 기초데이터!$U$2:$U$305)</f>
        <v>kelly.seo@neurophet.com</v>
      </c>
    </row>
    <row r="24" spans="1:28" x14ac:dyDescent="0.3">
      <c r="A24" s="6">
        <f>SUBTOTAL(3,$I$2:I24)*1</f>
        <v>23</v>
      </c>
      <c r="B24" s="21" t="s">
        <v>26</v>
      </c>
      <c r="C24" s="6" t="s">
        <v>138</v>
      </c>
      <c r="D24" s="6">
        <v>1</v>
      </c>
      <c r="E24" s="6" t="s">
        <v>128</v>
      </c>
      <c r="F24" s="6">
        <v>0</v>
      </c>
      <c r="G24" s="6" t="s">
        <v>139</v>
      </c>
      <c r="H24" s="6" t="s">
        <v>30</v>
      </c>
      <c r="I24" s="6" t="s">
        <v>140</v>
      </c>
      <c r="J24" s="6" t="s">
        <v>141</v>
      </c>
      <c r="K24" s="6" t="s">
        <v>33</v>
      </c>
      <c r="L24" s="6" t="s">
        <v>34</v>
      </c>
      <c r="M24" s="6" t="s">
        <v>35</v>
      </c>
      <c r="N24" s="6" t="s">
        <v>142</v>
      </c>
      <c r="O24" s="6" t="s">
        <v>143</v>
      </c>
      <c r="P24" s="6" t="s">
        <v>144</v>
      </c>
      <c r="T24" s="6" t="s">
        <v>145</v>
      </c>
      <c r="U24" s="7">
        <f t="shared" si="0"/>
        <v>45677</v>
      </c>
      <c r="V24" s="6">
        <f t="shared" si="1"/>
        <v>4</v>
      </c>
      <c r="W24" s="8" t="str">
        <f t="shared" si="2"/>
        <v>18:45</v>
      </c>
      <c r="X24" s="8" t="str">
        <f t="shared" si="3"/>
        <v>20:45</v>
      </c>
      <c r="Y24" s="9">
        <f t="shared" si="4"/>
        <v>8.333333333333337E-2</v>
      </c>
      <c r="Z24" s="22" t="str">
        <f t="shared" si="6"/>
        <v>2025-01-20 월 (18:45~20:45) : 2시간</v>
      </c>
      <c r="AA24" s="22"/>
      <c r="AB24" s="6" t="str">
        <f ca="1">_xlfn.XLOOKUP(I24, 기초데이터!$C$2:$C$305, 기초데이터!$U$2:$U$305)</f>
        <v>hikang@neurophet.com</v>
      </c>
    </row>
    <row r="25" spans="1:28" x14ac:dyDescent="0.3">
      <c r="A25" s="6">
        <f>SUBTOTAL(3,$I$2:I25)*1</f>
        <v>24</v>
      </c>
      <c r="B25" s="21" t="s">
        <v>26</v>
      </c>
      <c r="C25" s="6" t="s">
        <v>146</v>
      </c>
      <c r="D25" s="6">
        <v>1</v>
      </c>
      <c r="E25" s="6" t="s">
        <v>147</v>
      </c>
      <c r="F25" s="6">
        <v>0</v>
      </c>
      <c r="G25" s="6" t="s">
        <v>148</v>
      </c>
      <c r="H25" s="6" t="s">
        <v>30</v>
      </c>
      <c r="I25" s="6" t="s">
        <v>149</v>
      </c>
      <c r="J25" s="6" t="s">
        <v>150</v>
      </c>
      <c r="K25" s="6" t="s">
        <v>33</v>
      </c>
      <c r="L25" s="6" t="s">
        <v>34</v>
      </c>
      <c r="M25" s="6" t="s">
        <v>35</v>
      </c>
      <c r="N25" s="6" t="s">
        <v>142</v>
      </c>
      <c r="O25" s="6" t="s">
        <v>151</v>
      </c>
      <c r="P25" s="6" t="s">
        <v>152</v>
      </c>
      <c r="T25" s="6" t="s">
        <v>153</v>
      </c>
      <c r="U25" s="7">
        <f t="shared" si="0"/>
        <v>45675</v>
      </c>
      <c r="V25" s="6">
        <f t="shared" si="1"/>
        <v>3</v>
      </c>
      <c r="W25" s="8" t="str">
        <f t="shared" si="2"/>
        <v>10:45</v>
      </c>
      <c r="X25" s="8" t="str">
        <f t="shared" si="3"/>
        <v>16:00</v>
      </c>
      <c r="Y25" s="9">
        <f t="shared" si="4"/>
        <v>0.21874999999999994</v>
      </c>
      <c r="Z25" s="22" t="str">
        <f t="shared" si="6"/>
        <v>2025-01-18 토 (10:45~16:00) : 5시간 15분</v>
      </c>
      <c r="AA25" s="22"/>
      <c r="AB25" s="6" t="str">
        <f ca="1">_xlfn.XLOOKUP(I25, 기초데이터!$C$2:$C$305, 기초데이터!$U$2:$U$305)</f>
        <v>sjsj0331@neurophet.com</v>
      </c>
    </row>
    <row r="26" spans="1:28" x14ac:dyDescent="0.3">
      <c r="A26" s="6">
        <f>SUBTOTAL(3,$I$2:I26)*1</f>
        <v>25</v>
      </c>
      <c r="B26" s="21" t="s">
        <v>26</v>
      </c>
      <c r="C26" s="6" t="s">
        <v>154</v>
      </c>
      <c r="D26" s="6">
        <v>1</v>
      </c>
      <c r="E26" s="6" t="s">
        <v>53</v>
      </c>
      <c r="F26" s="6">
        <v>0</v>
      </c>
      <c r="G26" s="6" t="s">
        <v>131</v>
      </c>
      <c r="H26" s="6" t="s">
        <v>56</v>
      </c>
      <c r="I26" s="6" t="s">
        <v>132</v>
      </c>
      <c r="J26" s="6" t="s">
        <v>133</v>
      </c>
      <c r="K26" s="6" t="s">
        <v>33</v>
      </c>
      <c r="L26" s="6" t="s">
        <v>34</v>
      </c>
      <c r="M26" s="6" t="s">
        <v>35</v>
      </c>
      <c r="N26" s="6" t="s">
        <v>155</v>
      </c>
      <c r="O26" s="6" t="s">
        <v>156</v>
      </c>
      <c r="P26" s="6" t="s">
        <v>157</v>
      </c>
      <c r="T26" s="6" t="s">
        <v>158</v>
      </c>
      <c r="U26" s="7">
        <f t="shared" si="0"/>
        <v>45674</v>
      </c>
      <c r="V26" s="6">
        <f t="shared" si="1"/>
        <v>3</v>
      </c>
      <c r="W26" s="8" t="str">
        <f t="shared" si="2"/>
        <v>17:30</v>
      </c>
      <c r="X26" s="8" t="str">
        <f t="shared" si="3"/>
        <v>21:30</v>
      </c>
      <c r="Y26" s="9">
        <f t="shared" si="4"/>
        <v>0.16666666666666674</v>
      </c>
      <c r="Z26" s="22" t="str">
        <f t="shared" si="6"/>
        <v>2025-01-17 금 (17:30~21:30) : 4시간</v>
      </c>
      <c r="AA26" s="22"/>
      <c r="AB26" s="6" t="str">
        <f ca="1">_xlfn.XLOOKUP(I26, 기초데이터!$C$2:$C$305, 기초데이터!$U$2:$U$305)</f>
        <v>kelly.seo@neurophet.com</v>
      </c>
    </row>
    <row r="27" spans="1:28" x14ac:dyDescent="0.3">
      <c r="A27" s="6">
        <f>SUBTOTAL(3,$I$2:I27)*1</f>
        <v>26</v>
      </c>
      <c r="B27" s="21" t="s">
        <v>26</v>
      </c>
      <c r="C27" s="6" t="s">
        <v>159</v>
      </c>
      <c r="D27" s="6">
        <v>1</v>
      </c>
      <c r="E27" s="6" t="s">
        <v>55</v>
      </c>
      <c r="F27" s="6">
        <v>0</v>
      </c>
      <c r="G27" s="6" t="s">
        <v>160</v>
      </c>
      <c r="H27" s="6" t="s">
        <v>30</v>
      </c>
      <c r="I27" s="6" t="s">
        <v>161</v>
      </c>
      <c r="J27" s="6" t="s">
        <v>162</v>
      </c>
      <c r="K27" s="6" t="s">
        <v>33</v>
      </c>
      <c r="L27" s="6" t="s">
        <v>34</v>
      </c>
      <c r="M27" s="6" t="s">
        <v>35</v>
      </c>
      <c r="N27" s="6" t="s">
        <v>142</v>
      </c>
      <c r="O27" s="6" t="s">
        <v>163</v>
      </c>
      <c r="P27" s="6" t="s">
        <v>164</v>
      </c>
      <c r="T27" s="6" t="s">
        <v>165</v>
      </c>
      <c r="U27" s="7">
        <f t="shared" si="0"/>
        <v>45674</v>
      </c>
      <c r="V27" s="6">
        <f t="shared" si="1"/>
        <v>3</v>
      </c>
      <c r="W27" s="8" t="str">
        <f t="shared" si="2"/>
        <v>18:25</v>
      </c>
      <c r="X27" s="8" t="str">
        <f t="shared" si="3"/>
        <v>20:55</v>
      </c>
      <c r="Y27" s="9">
        <f t="shared" si="4"/>
        <v>0.10416666666666663</v>
      </c>
      <c r="Z27" s="22" t="str">
        <f t="shared" si="6"/>
        <v>2025-01-17 금 (18:25~20:55) : 2시간 30분</v>
      </c>
      <c r="AA27" s="22"/>
      <c r="AB27" s="6" t="str">
        <f ca="1">_xlfn.XLOOKUP(I27, 기초데이터!$C$2:$C$305, 기초데이터!$U$2:$U$305)</f>
        <v>jeongin@neurophet.com</v>
      </c>
    </row>
    <row r="28" spans="1:28" x14ac:dyDescent="0.3">
      <c r="A28" s="6">
        <f>SUBTOTAL(3,$I$2:I28)*1</f>
        <v>27</v>
      </c>
      <c r="B28" s="21" t="s">
        <v>26</v>
      </c>
      <c r="C28" s="6" t="s">
        <v>166</v>
      </c>
      <c r="D28" s="6">
        <v>1</v>
      </c>
      <c r="E28" s="6" t="s">
        <v>41</v>
      </c>
      <c r="F28" s="6">
        <v>0</v>
      </c>
      <c r="G28" s="6" t="s">
        <v>167</v>
      </c>
      <c r="H28" s="6" t="s">
        <v>30</v>
      </c>
      <c r="I28" s="6" t="s">
        <v>168</v>
      </c>
      <c r="J28" s="6" t="s">
        <v>169</v>
      </c>
      <c r="K28" s="6" t="s">
        <v>33</v>
      </c>
      <c r="L28" s="6" t="s">
        <v>34</v>
      </c>
      <c r="M28" s="6" t="s">
        <v>35</v>
      </c>
      <c r="N28" s="6" t="s">
        <v>170</v>
      </c>
      <c r="O28" s="6" t="s">
        <v>171</v>
      </c>
      <c r="P28" s="6" t="s">
        <v>172</v>
      </c>
      <c r="T28" s="6" t="s">
        <v>173</v>
      </c>
      <c r="U28" s="7">
        <f t="shared" si="0"/>
        <v>45674</v>
      </c>
      <c r="V28" s="6">
        <f t="shared" si="1"/>
        <v>3</v>
      </c>
      <c r="W28" s="8" t="str">
        <f t="shared" si="2"/>
        <v>18:02</v>
      </c>
      <c r="X28" s="8" t="str">
        <f t="shared" si="3"/>
        <v>20:20</v>
      </c>
      <c r="Y28" s="9">
        <f t="shared" si="4"/>
        <v>9.5833333333333326E-2</v>
      </c>
      <c r="Z28" s="22" t="str">
        <f t="shared" si="6"/>
        <v>2025-01-17 금 (18:02~20:20) : 2시간 18분</v>
      </c>
      <c r="AA28" s="22"/>
      <c r="AB28" s="6" t="str">
        <f ca="1">_xlfn.XLOOKUP(I28, 기초데이터!$C$2:$C$305, 기초데이터!$U$2:$U$305)</f>
        <v>selee@neurophet.com</v>
      </c>
    </row>
    <row r="29" spans="1:28" x14ac:dyDescent="0.3">
      <c r="A29" s="6">
        <f>SUBTOTAL(3,$I$2:I29)*1</f>
        <v>28</v>
      </c>
      <c r="B29" s="21" t="s">
        <v>26</v>
      </c>
      <c r="C29" s="6" t="s">
        <v>174</v>
      </c>
      <c r="D29" s="6">
        <v>1</v>
      </c>
      <c r="E29" s="6" t="s">
        <v>63</v>
      </c>
      <c r="F29" s="6">
        <v>0</v>
      </c>
      <c r="G29" s="6" t="s">
        <v>175</v>
      </c>
      <c r="H29" s="6" t="s">
        <v>30</v>
      </c>
      <c r="I29" s="6" t="s">
        <v>176</v>
      </c>
      <c r="J29" s="6" t="s">
        <v>177</v>
      </c>
      <c r="K29" s="6" t="s">
        <v>33</v>
      </c>
      <c r="L29" s="6" t="s">
        <v>34</v>
      </c>
      <c r="M29" s="6" t="s">
        <v>35</v>
      </c>
      <c r="N29" s="6" t="s">
        <v>178</v>
      </c>
      <c r="O29" s="6" t="s">
        <v>179</v>
      </c>
      <c r="P29" s="6" t="s">
        <v>180</v>
      </c>
      <c r="T29" s="6" t="s">
        <v>181</v>
      </c>
      <c r="U29" s="7">
        <f t="shared" si="0"/>
        <v>45673</v>
      </c>
      <c r="V29" s="6">
        <f t="shared" si="1"/>
        <v>3</v>
      </c>
      <c r="W29" s="8" t="str">
        <f t="shared" si="2"/>
        <v>14:00</v>
      </c>
      <c r="X29" s="8" t="str">
        <f t="shared" si="3"/>
        <v>17:01</v>
      </c>
      <c r="Y29" s="9">
        <f t="shared" si="4"/>
        <v>0.12569444444444444</v>
      </c>
      <c r="Z29" s="22" t="str">
        <f t="shared" si="6"/>
        <v>2025-01-16 목 (14:00~17:01) : 3시간 1분</v>
      </c>
      <c r="AA29" s="22"/>
      <c r="AB29" s="6" t="str">
        <f ca="1">_xlfn.XLOOKUP(I29, 기초데이터!$C$2:$C$305, 기초데이터!$U$2:$U$305)</f>
        <v>rkhong@neurophet.com</v>
      </c>
    </row>
    <row r="30" spans="1:28" x14ac:dyDescent="0.3">
      <c r="A30" s="6">
        <f>SUBTOTAL(3,$I$2:I30)*1</f>
        <v>29</v>
      </c>
      <c r="B30" s="21" t="s">
        <v>26</v>
      </c>
      <c r="C30" s="6" t="s">
        <v>182</v>
      </c>
      <c r="D30" s="6">
        <v>1</v>
      </c>
      <c r="E30" s="6" t="s">
        <v>183</v>
      </c>
      <c r="F30" s="6">
        <v>0</v>
      </c>
      <c r="G30" s="6" t="s">
        <v>167</v>
      </c>
      <c r="H30" s="6" t="s">
        <v>56</v>
      </c>
      <c r="I30" s="6" t="s">
        <v>184</v>
      </c>
      <c r="J30" s="6" t="s">
        <v>185</v>
      </c>
      <c r="K30" s="6" t="s">
        <v>33</v>
      </c>
      <c r="L30" s="6" t="s">
        <v>34</v>
      </c>
      <c r="M30" s="6" t="s">
        <v>35</v>
      </c>
      <c r="N30" s="6" t="s">
        <v>170</v>
      </c>
      <c r="O30" s="6" t="s">
        <v>186</v>
      </c>
      <c r="P30" s="6" t="s">
        <v>187</v>
      </c>
      <c r="T30" s="6" t="s">
        <v>188</v>
      </c>
      <c r="U30" s="7">
        <f t="shared" si="0"/>
        <v>45673</v>
      </c>
      <c r="V30" s="6">
        <f t="shared" si="1"/>
        <v>3</v>
      </c>
      <c r="W30" s="8" t="str">
        <f t="shared" si="2"/>
        <v>17:22</v>
      </c>
      <c r="X30" s="8" t="str">
        <f t="shared" si="3"/>
        <v>21:15</v>
      </c>
      <c r="Y30" s="9">
        <f t="shared" si="4"/>
        <v>0.16180555555555554</v>
      </c>
      <c r="Z30" s="22" t="str">
        <f t="shared" si="6"/>
        <v>2025-01-16 목 (17:22~21:15) : 3시간 53분</v>
      </c>
      <c r="AA30" s="22"/>
      <c r="AB30" s="6" t="str">
        <f ca="1">_xlfn.XLOOKUP(I30, 기초데이터!$C$2:$C$305, 기초데이터!$U$2:$U$305)</f>
        <v>dbsong@neurophet.com</v>
      </c>
    </row>
    <row r="31" spans="1:28" x14ac:dyDescent="0.3">
      <c r="A31" s="6">
        <f>SUBTOTAL(3,$I$2:I31)*1</f>
        <v>30</v>
      </c>
      <c r="B31" s="21" t="s">
        <v>26</v>
      </c>
      <c r="C31" s="6" t="s">
        <v>189</v>
      </c>
      <c r="D31" s="6">
        <v>1</v>
      </c>
      <c r="E31" s="6" t="s">
        <v>53</v>
      </c>
      <c r="F31" s="6">
        <v>0</v>
      </c>
      <c r="G31" s="6" t="s">
        <v>190</v>
      </c>
      <c r="H31" s="6" t="s">
        <v>30</v>
      </c>
      <c r="I31" s="6" t="s">
        <v>191</v>
      </c>
      <c r="J31" s="6" t="s">
        <v>192</v>
      </c>
      <c r="K31" s="6" t="s">
        <v>33</v>
      </c>
      <c r="L31" s="6" t="s">
        <v>34</v>
      </c>
      <c r="M31" s="6" t="s">
        <v>35</v>
      </c>
      <c r="N31" s="6" t="s">
        <v>83</v>
      </c>
      <c r="O31" s="6" t="s">
        <v>193</v>
      </c>
      <c r="P31" s="6" t="s">
        <v>194</v>
      </c>
      <c r="T31" s="6" t="s">
        <v>195</v>
      </c>
      <c r="U31" s="7">
        <f t="shared" si="0"/>
        <v>45673</v>
      </c>
      <c r="V31" s="6">
        <f t="shared" si="1"/>
        <v>3</v>
      </c>
      <c r="W31" s="8" t="str">
        <f t="shared" si="2"/>
        <v>04:00</v>
      </c>
      <c r="X31" s="8" t="str">
        <f t="shared" si="3"/>
        <v>09:00</v>
      </c>
      <c r="Y31" s="9">
        <f t="shared" si="4"/>
        <v>0.20833333333333334</v>
      </c>
      <c r="Z31" s="22" t="str">
        <f t="shared" si="6"/>
        <v>2025-01-16 목 (04:00~09:00) : 5시간</v>
      </c>
      <c r="AA31" s="22"/>
      <c r="AB31" s="6" t="str">
        <f ca="1">_xlfn.XLOOKUP(I31, 기초데이터!$C$2:$C$305, 기초데이터!$U$2:$U$305)</f>
        <v>woong@neurophet.com</v>
      </c>
    </row>
    <row r="32" spans="1:28" x14ac:dyDescent="0.3">
      <c r="A32" s="6">
        <f>SUBTOTAL(3,$I$2:I32)*1</f>
        <v>31</v>
      </c>
      <c r="B32" s="21" t="s">
        <v>26</v>
      </c>
      <c r="C32" s="6" t="s">
        <v>196</v>
      </c>
      <c r="D32" s="6">
        <v>1</v>
      </c>
      <c r="E32" s="6" t="s">
        <v>53</v>
      </c>
      <c r="F32" s="6">
        <v>0</v>
      </c>
      <c r="G32" s="6" t="s">
        <v>190</v>
      </c>
      <c r="H32" s="6" t="s">
        <v>30</v>
      </c>
      <c r="I32" s="6" t="s">
        <v>191</v>
      </c>
      <c r="J32" s="6" t="s">
        <v>192</v>
      </c>
      <c r="K32" s="6" t="s">
        <v>33</v>
      </c>
      <c r="L32" s="6" t="s">
        <v>34</v>
      </c>
      <c r="M32" s="6" t="s">
        <v>35</v>
      </c>
      <c r="N32" s="6" t="s">
        <v>83</v>
      </c>
      <c r="O32" s="6" t="s">
        <v>197</v>
      </c>
      <c r="P32" s="6" t="s">
        <v>198</v>
      </c>
      <c r="T32" s="6" t="s">
        <v>195</v>
      </c>
      <c r="U32" s="7">
        <f t="shared" si="0"/>
        <v>45673</v>
      </c>
      <c r="V32" s="6">
        <f t="shared" si="1"/>
        <v>3</v>
      </c>
      <c r="W32" s="8" t="str">
        <f t="shared" si="2"/>
        <v>18:00</v>
      </c>
      <c r="X32" s="8" t="str">
        <f t="shared" si="3"/>
        <v>22:00</v>
      </c>
      <c r="Y32" s="9">
        <f t="shared" si="4"/>
        <v>0.16666666666666663</v>
      </c>
      <c r="Z32" s="22" t="str">
        <f t="shared" si="6"/>
        <v>2025-01-16 목 (18:00~22:00) : 4시간</v>
      </c>
      <c r="AA32" s="22"/>
      <c r="AB32" s="6" t="str">
        <f ca="1">_xlfn.XLOOKUP(I32, 기초데이터!$C$2:$C$305, 기초데이터!$U$2:$U$305)</f>
        <v>woong@neurophet.com</v>
      </c>
    </row>
    <row r="33" spans="1:28" x14ac:dyDescent="0.3">
      <c r="A33" s="6">
        <f>SUBTOTAL(3,$I$2:I33)*1</f>
        <v>32</v>
      </c>
      <c r="B33" s="21" t="s">
        <v>26</v>
      </c>
      <c r="C33" s="6" t="s">
        <v>199</v>
      </c>
      <c r="D33" s="6">
        <v>1</v>
      </c>
      <c r="E33" s="6" t="s">
        <v>53</v>
      </c>
      <c r="F33" s="6">
        <v>0</v>
      </c>
      <c r="G33" s="6" t="s">
        <v>131</v>
      </c>
      <c r="H33" s="6" t="s">
        <v>56</v>
      </c>
      <c r="I33" s="6" t="s">
        <v>132</v>
      </c>
      <c r="J33" s="6" t="s">
        <v>133</v>
      </c>
      <c r="K33" s="6" t="s">
        <v>33</v>
      </c>
      <c r="L33" s="6" t="s">
        <v>34</v>
      </c>
      <c r="M33" s="6" t="s">
        <v>35</v>
      </c>
      <c r="N33" s="6" t="s">
        <v>200</v>
      </c>
      <c r="O33" s="6" t="s">
        <v>201</v>
      </c>
      <c r="P33" s="6" t="s">
        <v>202</v>
      </c>
      <c r="T33" s="6" t="s">
        <v>203</v>
      </c>
      <c r="U33" s="7">
        <f t="shared" si="0"/>
        <v>45672</v>
      </c>
      <c r="V33" s="6">
        <f t="shared" si="1"/>
        <v>3</v>
      </c>
      <c r="W33" s="8" t="str">
        <f t="shared" si="2"/>
        <v>17:30</v>
      </c>
      <c r="X33" s="8" t="str">
        <f t="shared" si="3"/>
        <v>21:30</v>
      </c>
      <c r="Y33" s="9">
        <f t="shared" si="4"/>
        <v>0.16666666666666674</v>
      </c>
      <c r="Z33" s="22" t="str">
        <f t="shared" si="6"/>
        <v>2025-01-15 수 (17:30~21:30) : 4시간</v>
      </c>
      <c r="AA33" s="22"/>
      <c r="AB33" s="6" t="str">
        <f ca="1">_xlfn.XLOOKUP(I33, 기초데이터!$C$2:$C$305, 기초데이터!$U$2:$U$305)</f>
        <v>kelly.seo@neurophet.com</v>
      </c>
    </row>
    <row r="34" spans="1:28" x14ac:dyDescent="0.3">
      <c r="A34" s="6">
        <f>SUBTOTAL(3,$I$2:I34)*1</f>
        <v>33</v>
      </c>
      <c r="B34" s="21" t="s">
        <v>26</v>
      </c>
      <c r="C34" s="6" t="s">
        <v>204</v>
      </c>
      <c r="D34" s="6">
        <v>1</v>
      </c>
      <c r="E34" s="6" t="s">
        <v>205</v>
      </c>
      <c r="F34" s="6">
        <v>0</v>
      </c>
      <c r="G34" s="6" t="s">
        <v>167</v>
      </c>
      <c r="H34" s="6" t="s">
        <v>30</v>
      </c>
      <c r="I34" s="6" t="s">
        <v>206</v>
      </c>
      <c r="J34" s="6" t="s">
        <v>207</v>
      </c>
      <c r="K34" s="6" t="s">
        <v>33</v>
      </c>
      <c r="L34" s="6" t="s">
        <v>34</v>
      </c>
      <c r="M34" s="6" t="s">
        <v>35</v>
      </c>
      <c r="N34" s="6" t="s">
        <v>208</v>
      </c>
      <c r="O34" s="6" t="s">
        <v>209</v>
      </c>
      <c r="P34" s="6" t="s">
        <v>210</v>
      </c>
      <c r="T34" s="6" t="s">
        <v>211</v>
      </c>
      <c r="U34" s="7">
        <f t="shared" si="0"/>
        <v>45672</v>
      </c>
      <c r="V34" s="6">
        <f t="shared" si="1"/>
        <v>3</v>
      </c>
      <c r="W34" s="8" t="str">
        <f t="shared" si="2"/>
        <v>17:38</v>
      </c>
      <c r="X34" s="8" t="str">
        <f t="shared" si="3"/>
        <v>21:17</v>
      </c>
      <c r="Y34" s="9">
        <f t="shared" si="4"/>
        <v>0.15208333333333324</v>
      </c>
      <c r="Z34" s="22" t="str">
        <f t="shared" si="6"/>
        <v>2025-01-15 수 (17:38~21:17) : 3시간 39분</v>
      </c>
      <c r="AA34" s="22"/>
      <c r="AB34" s="6" t="str">
        <f ca="1">_xlfn.XLOOKUP(I34, 기초데이터!$C$2:$C$305, 기초데이터!$U$2:$U$305)</f>
        <v>sywhang@neurophet.com</v>
      </c>
    </row>
    <row r="35" spans="1:28" x14ac:dyDescent="0.3">
      <c r="A35" s="6">
        <f>SUBTOTAL(3,$I$2:I35)*1</f>
        <v>34</v>
      </c>
      <c r="B35" s="21" t="s">
        <v>26</v>
      </c>
      <c r="C35" s="6" t="s">
        <v>212</v>
      </c>
      <c r="D35" s="6">
        <v>1</v>
      </c>
      <c r="E35" s="6" t="s">
        <v>128</v>
      </c>
      <c r="F35" s="6">
        <v>0</v>
      </c>
      <c r="G35" s="6" t="s">
        <v>131</v>
      </c>
      <c r="H35" s="6" t="s">
        <v>56</v>
      </c>
      <c r="I35" s="6" t="s">
        <v>132</v>
      </c>
      <c r="J35" s="6" t="s">
        <v>133</v>
      </c>
      <c r="K35" s="6" t="s">
        <v>33</v>
      </c>
      <c r="L35" s="6" t="s">
        <v>34</v>
      </c>
      <c r="M35" s="6" t="s">
        <v>35</v>
      </c>
      <c r="N35" s="6" t="s">
        <v>213</v>
      </c>
      <c r="O35" s="6" t="s">
        <v>214</v>
      </c>
      <c r="P35" s="6" t="s">
        <v>215</v>
      </c>
      <c r="T35" s="6" t="s">
        <v>216</v>
      </c>
      <c r="U35" s="7">
        <f t="shared" si="0"/>
        <v>45671</v>
      </c>
      <c r="V35" s="6">
        <f t="shared" si="1"/>
        <v>3</v>
      </c>
      <c r="W35" s="8" t="str">
        <f t="shared" si="2"/>
        <v>17:45</v>
      </c>
      <c r="X35" s="8" t="str">
        <f t="shared" si="3"/>
        <v>19:45</v>
      </c>
      <c r="Y35" s="9">
        <f t="shared" si="4"/>
        <v>8.3333333333333259E-2</v>
      </c>
      <c r="Z35" s="22" t="str">
        <f t="shared" si="6"/>
        <v>2025-01-14 화 (17:45~19:45) : 2시간</v>
      </c>
      <c r="AA35" s="22"/>
      <c r="AB35" s="6" t="str">
        <f ca="1">_xlfn.XLOOKUP(I35, 기초데이터!$C$2:$C$305, 기초데이터!$U$2:$U$305)</f>
        <v>kelly.seo@neurophet.com</v>
      </c>
    </row>
    <row r="36" spans="1:28" x14ac:dyDescent="0.3">
      <c r="A36" s="6">
        <f>SUBTOTAL(3,$I$2:I36)*1</f>
        <v>35</v>
      </c>
      <c r="B36" s="21" t="s">
        <v>26</v>
      </c>
      <c r="C36" s="6" t="s">
        <v>217</v>
      </c>
      <c r="D36" s="6">
        <v>1</v>
      </c>
      <c r="E36" s="6" t="s">
        <v>218</v>
      </c>
      <c r="F36" s="6">
        <v>0</v>
      </c>
      <c r="G36" s="6" t="s">
        <v>167</v>
      </c>
      <c r="H36" s="6" t="s">
        <v>30</v>
      </c>
      <c r="I36" s="6" t="s">
        <v>219</v>
      </c>
      <c r="J36" s="6" t="s">
        <v>220</v>
      </c>
      <c r="K36" s="6" t="s">
        <v>33</v>
      </c>
      <c r="L36" s="6" t="s">
        <v>34</v>
      </c>
      <c r="M36" s="6" t="s">
        <v>35</v>
      </c>
      <c r="N36" s="6" t="s">
        <v>134</v>
      </c>
      <c r="O36" s="6" t="s">
        <v>221</v>
      </c>
      <c r="P36" s="6" t="s">
        <v>222</v>
      </c>
      <c r="T36" s="6" t="s">
        <v>223</v>
      </c>
      <c r="U36" s="7">
        <f t="shared" si="0"/>
        <v>45671</v>
      </c>
      <c r="V36" s="6">
        <f t="shared" si="1"/>
        <v>3</v>
      </c>
      <c r="W36" s="8" t="str">
        <f t="shared" si="2"/>
        <v>16:50</v>
      </c>
      <c r="X36" s="8" t="str">
        <f t="shared" si="3"/>
        <v>19:15</v>
      </c>
      <c r="Y36" s="9">
        <f t="shared" si="4"/>
        <v>0.10069444444444453</v>
      </c>
      <c r="Z36" s="22" t="str">
        <f t="shared" si="6"/>
        <v>2025-01-14 화 (16:50~19:15) : 2시간 25분</v>
      </c>
      <c r="AA36" s="22"/>
      <c r="AB36" s="6" t="str">
        <f ca="1">_xlfn.XLOOKUP(I36, 기초데이터!$C$2:$C$305, 기초데이터!$U$2:$U$305)</f>
        <v>youngji.song@neurophet.com</v>
      </c>
    </row>
    <row r="37" spans="1:28" x14ac:dyDescent="0.3">
      <c r="A37" s="6">
        <f>SUBTOTAL(3,$I$2:I37)*1</f>
        <v>36</v>
      </c>
      <c r="B37" s="21" t="s">
        <v>26</v>
      </c>
      <c r="C37" s="6" t="s">
        <v>224</v>
      </c>
      <c r="D37" s="6">
        <v>1</v>
      </c>
      <c r="E37" s="6" t="s">
        <v>55</v>
      </c>
      <c r="F37" s="6">
        <v>0</v>
      </c>
      <c r="G37" s="6" t="s">
        <v>167</v>
      </c>
      <c r="H37" s="6" t="s">
        <v>56</v>
      </c>
      <c r="I37" s="6" t="s">
        <v>184</v>
      </c>
      <c r="J37" s="6" t="s">
        <v>185</v>
      </c>
      <c r="K37" s="6" t="s">
        <v>33</v>
      </c>
      <c r="L37" s="6" t="s">
        <v>34</v>
      </c>
      <c r="M37" s="6" t="s">
        <v>35</v>
      </c>
      <c r="N37" s="6" t="s">
        <v>170</v>
      </c>
      <c r="O37" s="6" t="s">
        <v>186</v>
      </c>
      <c r="P37" s="6" t="s">
        <v>187</v>
      </c>
      <c r="T37" s="6" t="s">
        <v>225</v>
      </c>
      <c r="U37" s="7">
        <f t="shared" si="0"/>
        <v>45671</v>
      </c>
      <c r="V37" s="6">
        <f t="shared" si="1"/>
        <v>3</v>
      </c>
      <c r="W37" s="8" t="str">
        <f t="shared" si="2"/>
        <v>16:47</v>
      </c>
      <c r="X37" s="8" t="str">
        <f t="shared" si="3"/>
        <v>19:19</v>
      </c>
      <c r="Y37" s="9">
        <f t="shared" si="4"/>
        <v>0.10555555555555562</v>
      </c>
      <c r="Z37" s="22" t="str">
        <f t="shared" si="6"/>
        <v>2025-01-14 화 (16:47~19:19) : 2시간 32분</v>
      </c>
      <c r="AA37" s="22"/>
      <c r="AB37" s="6" t="str">
        <f ca="1">_xlfn.XLOOKUP(I37, 기초데이터!$C$2:$C$305, 기초데이터!$U$2:$U$305)</f>
        <v>dbsong@neurophet.com</v>
      </c>
    </row>
    <row r="38" spans="1:28" x14ac:dyDescent="0.3">
      <c r="A38" s="6">
        <f>SUBTOTAL(3,$I$2:I38)*1</f>
        <v>37</v>
      </c>
      <c r="B38" s="21" t="s">
        <v>26</v>
      </c>
      <c r="C38" s="6" t="s">
        <v>226</v>
      </c>
      <c r="D38" s="6">
        <v>1</v>
      </c>
      <c r="E38" s="6" t="s">
        <v>128</v>
      </c>
      <c r="F38" s="6">
        <v>0</v>
      </c>
      <c r="G38" s="6" t="s">
        <v>131</v>
      </c>
      <c r="H38" s="6" t="s">
        <v>56</v>
      </c>
      <c r="I38" s="6" t="s">
        <v>132</v>
      </c>
      <c r="J38" s="6" t="s">
        <v>133</v>
      </c>
      <c r="K38" s="6" t="s">
        <v>33</v>
      </c>
      <c r="L38" s="6" t="s">
        <v>34</v>
      </c>
      <c r="M38" s="6" t="s">
        <v>35</v>
      </c>
      <c r="N38" s="6" t="s">
        <v>213</v>
      </c>
      <c r="O38" s="6" t="s">
        <v>227</v>
      </c>
      <c r="P38" s="6" t="s">
        <v>228</v>
      </c>
      <c r="T38" s="6" t="s">
        <v>229</v>
      </c>
      <c r="U38" s="7">
        <f t="shared" si="0"/>
        <v>45670</v>
      </c>
      <c r="V38" s="6">
        <f t="shared" si="1"/>
        <v>3</v>
      </c>
      <c r="W38" s="8" t="str">
        <f t="shared" si="2"/>
        <v>17:30</v>
      </c>
      <c r="X38" s="8" t="str">
        <f t="shared" si="3"/>
        <v>19:30</v>
      </c>
      <c r="Y38" s="9">
        <f t="shared" si="4"/>
        <v>8.333333333333337E-2</v>
      </c>
      <c r="Z38" s="22" t="str">
        <f t="shared" si="6"/>
        <v>2025-01-13 월 (17:30~19:30) : 2시간</v>
      </c>
      <c r="AA38" s="22"/>
      <c r="AB38" s="6" t="str">
        <f ca="1">_xlfn.XLOOKUP(I38, 기초데이터!$C$2:$C$305, 기초데이터!$U$2:$U$305)</f>
        <v>kelly.seo@neurophet.com</v>
      </c>
    </row>
    <row r="39" spans="1:28" x14ac:dyDescent="0.3">
      <c r="A39" s="6">
        <f>SUBTOTAL(3,$I$2:I39)*1</f>
        <v>38</v>
      </c>
      <c r="B39" s="21" t="s">
        <v>26</v>
      </c>
      <c r="C39" s="6" t="s">
        <v>230</v>
      </c>
      <c r="D39" s="6">
        <v>1</v>
      </c>
      <c r="E39" s="6" t="s">
        <v>63</v>
      </c>
      <c r="F39" s="6">
        <v>0</v>
      </c>
      <c r="G39" s="6" t="s">
        <v>190</v>
      </c>
      <c r="H39" s="6" t="s">
        <v>30</v>
      </c>
      <c r="I39" s="6" t="s">
        <v>231</v>
      </c>
      <c r="J39" s="6" t="s">
        <v>232</v>
      </c>
      <c r="K39" s="6" t="s">
        <v>33</v>
      </c>
      <c r="L39" s="6" t="s">
        <v>34</v>
      </c>
      <c r="M39" s="6" t="s">
        <v>35</v>
      </c>
      <c r="N39" s="6" t="s">
        <v>208</v>
      </c>
      <c r="O39" s="6" t="s">
        <v>233</v>
      </c>
      <c r="P39" s="6" t="s">
        <v>234</v>
      </c>
      <c r="T39" s="6" t="s">
        <v>235</v>
      </c>
      <c r="U39" s="7">
        <f t="shared" si="0"/>
        <v>45670</v>
      </c>
      <c r="V39" s="6">
        <f t="shared" si="1"/>
        <v>3</v>
      </c>
      <c r="W39" s="8" t="str">
        <f t="shared" si="2"/>
        <v>19:09</v>
      </c>
      <c r="X39" s="8" t="str">
        <f t="shared" si="3"/>
        <v>22:09</v>
      </c>
      <c r="Y39" s="9">
        <f t="shared" si="4"/>
        <v>0.125</v>
      </c>
      <c r="Z39" s="22" t="str">
        <f t="shared" si="6"/>
        <v>2025-01-13 월 (19:09~22:09) : 3시간</v>
      </c>
      <c r="AA39" s="22"/>
      <c r="AB39" s="6" t="str">
        <f ca="1">_xlfn.XLOOKUP(I39, 기초데이터!$C$2:$C$305, 기초데이터!$U$2:$U$305)</f>
        <v>hyeji@neurophet.com</v>
      </c>
    </row>
    <row r="40" spans="1:28" x14ac:dyDescent="0.3">
      <c r="A40" s="6">
        <f>SUBTOTAL(3,$I$2:I40)*1</f>
        <v>39</v>
      </c>
      <c r="B40" s="21" t="s">
        <v>26</v>
      </c>
      <c r="C40" s="6" t="s">
        <v>236</v>
      </c>
      <c r="D40" s="6">
        <v>1</v>
      </c>
      <c r="E40" s="6" t="s">
        <v>237</v>
      </c>
      <c r="F40" s="6">
        <v>0</v>
      </c>
      <c r="G40" s="6" t="s">
        <v>238</v>
      </c>
      <c r="H40" s="6" t="s">
        <v>56</v>
      </c>
      <c r="I40" s="6" t="s">
        <v>239</v>
      </c>
      <c r="J40" s="6" t="s">
        <v>240</v>
      </c>
      <c r="K40" s="6" t="s">
        <v>33</v>
      </c>
      <c r="L40" s="6" t="s">
        <v>34</v>
      </c>
      <c r="M40" s="6" t="s">
        <v>35</v>
      </c>
      <c r="N40" s="6" t="s">
        <v>213</v>
      </c>
      <c r="O40" s="6" t="s">
        <v>241</v>
      </c>
      <c r="P40" s="6" t="s">
        <v>242</v>
      </c>
      <c r="T40" s="6" t="s">
        <v>243</v>
      </c>
      <c r="U40" s="7">
        <f t="shared" si="0"/>
        <v>45670</v>
      </c>
      <c r="V40" s="6">
        <f t="shared" si="1"/>
        <v>3</v>
      </c>
      <c r="W40" s="8" t="str">
        <f t="shared" si="2"/>
        <v>16:49</v>
      </c>
      <c r="X40" s="8" t="str">
        <f t="shared" si="3"/>
        <v>18:59</v>
      </c>
      <c r="Y40" s="9">
        <f t="shared" si="4"/>
        <v>9.027777777777779E-2</v>
      </c>
      <c r="Z40" s="22" t="str">
        <f t="shared" si="6"/>
        <v>2025-01-13 월 (16:49~18:59) : 2시간 10분</v>
      </c>
      <c r="AA40" s="22"/>
      <c r="AB40" s="6" t="str">
        <f ca="1">_xlfn.XLOOKUP(I40, 기초데이터!$C$2:$C$305, 기초데이터!$U$2:$U$305)</f>
        <v>hyungyou.park@neurophet.com</v>
      </c>
    </row>
    <row r="41" spans="1:28" x14ac:dyDescent="0.3">
      <c r="A41" s="6">
        <f>SUBTOTAL(3,$I$2:I41)*1</f>
        <v>40</v>
      </c>
      <c r="B41" s="21" t="s">
        <v>26</v>
      </c>
      <c r="C41" s="6" t="s">
        <v>244</v>
      </c>
      <c r="D41" s="6">
        <v>1</v>
      </c>
      <c r="E41" s="6" t="s">
        <v>41</v>
      </c>
      <c r="F41" s="6">
        <v>0</v>
      </c>
      <c r="G41" s="6" t="s">
        <v>29</v>
      </c>
      <c r="H41" s="6" t="s">
        <v>56</v>
      </c>
      <c r="I41" s="6" t="s">
        <v>57</v>
      </c>
      <c r="J41" s="6" t="s">
        <v>58</v>
      </c>
      <c r="K41" s="6" t="s">
        <v>33</v>
      </c>
      <c r="L41" s="6" t="s">
        <v>34</v>
      </c>
      <c r="M41" s="6" t="s">
        <v>35</v>
      </c>
      <c r="N41" s="6" t="s">
        <v>245</v>
      </c>
      <c r="O41" s="6" t="s">
        <v>246</v>
      </c>
      <c r="P41" s="6" t="s">
        <v>247</v>
      </c>
      <c r="T41" s="6" t="s">
        <v>248</v>
      </c>
      <c r="U41" s="7">
        <f t="shared" si="0"/>
        <v>45668</v>
      </c>
      <c r="V41" s="6">
        <f t="shared" si="1"/>
        <v>2</v>
      </c>
      <c r="W41" s="8" t="str">
        <f t="shared" si="2"/>
        <v>13:40</v>
      </c>
      <c r="X41" s="8" t="str">
        <f t="shared" si="3"/>
        <v>15:55</v>
      </c>
      <c r="Y41" s="9">
        <f t="shared" si="4"/>
        <v>9.375E-2</v>
      </c>
      <c r="Z41" s="22" t="str">
        <f t="shared" si="6"/>
        <v>2025-01-11 토 (13:40~15:55) : 2시간 15분</v>
      </c>
      <c r="AA41" s="22"/>
      <c r="AB41" s="6" t="str">
        <f ca="1">_xlfn.XLOOKUP(I41, 기초데이터!$C$2:$C$305, 기초데이터!$U$2:$U$305)</f>
        <v>hsyang@neurophet.com</v>
      </c>
    </row>
    <row r="42" spans="1:28" x14ac:dyDescent="0.3">
      <c r="A42" s="6">
        <f>SUBTOTAL(3,$I$2:I42)*1</f>
        <v>41</v>
      </c>
      <c r="B42" s="21" t="s">
        <v>26</v>
      </c>
      <c r="C42" s="6" t="s">
        <v>249</v>
      </c>
      <c r="D42" s="6">
        <v>1</v>
      </c>
      <c r="E42" s="6" t="s">
        <v>250</v>
      </c>
      <c r="F42" s="6">
        <v>0</v>
      </c>
      <c r="G42" s="6" t="s">
        <v>148</v>
      </c>
      <c r="H42" s="6" t="s">
        <v>30</v>
      </c>
      <c r="I42" s="6" t="s">
        <v>149</v>
      </c>
      <c r="J42" s="6" t="s">
        <v>150</v>
      </c>
      <c r="K42" s="6" t="s">
        <v>33</v>
      </c>
      <c r="L42" s="6" t="s">
        <v>34</v>
      </c>
      <c r="M42" s="6" t="s">
        <v>35</v>
      </c>
      <c r="N42" s="6" t="s">
        <v>245</v>
      </c>
      <c r="O42" s="6" t="s">
        <v>251</v>
      </c>
      <c r="P42" s="6" t="s">
        <v>252</v>
      </c>
      <c r="T42" s="6" t="s">
        <v>253</v>
      </c>
      <c r="U42" s="7">
        <f t="shared" si="0"/>
        <v>45668</v>
      </c>
      <c r="V42" s="6">
        <f t="shared" si="1"/>
        <v>2</v>
      </c>
      <c r="W42" s="8" t="str">
        <f t="shared" si="2"/>
        <v>10:43</v>
      </c>
      <c r="X42" s="8" t="str">
        <f t="shared" si="3"/>
        <v>15:54</v>
      </c>
      <c r="Y42" s="9">
        <f t="shared" si="4"/>
        <v>0.21597222222222218</v>
      </c>
      <c r="Z42" s="22" t="str">
        <f t="shared" si="6"/>
        <v>2025-01-11 토 (10:43~15:54) : 5시간 11분</v>
      </c>
      <c r="AA42" s="22"/>
      <c r="AB42" s="6" t="str">
        <f ca="1">_xlfn.XLOOKUP(I42, 기초데이터!$C$2:$C$305, 기초데이터!$U$2:$U$305)</f>
        <v>sjsj0331@neurophet.com</v>
      </c>
    </row>
    <row r="43" spans="1:28" x14ac:dyDescent="0.3">
      <c r="A43" s="6">
        <f>SUBTOTAL(3,$I$2:I43)*1</f>
        <v>42</v>
      </c>
      <c r="B43" s="21" t="s">
        <v>26</v>
      </c>
      <c r="C43" s="6" t="s">
        <v>254</v>
      </c>
      <c r="D43" s="6">
        <v>1</v>
      </c>
      <c r="E43" s="6" t="s">
        <v>70</v>
      </c>
      <c r="F43" s="6">
        <v>0</v>
      </c>
      <c r="G43" s="6" t="s">
        <v>167</v>
      </c>
      <c r="H43" s="6" t="s">
        <v>56</v>
      </c>
      <c r="I43" s="6" t="s">
        <v>184</v>
      </c>
      <c r="J43" s="6" t="s">
        <v>185</v>
      </c>
      <c r="K43" s="6" t="s">
        <v>33</v>
      </c>
      <c r="L43" s="6" t="s">
        <v>34</v>
      </c>
      <c r="M43" s="6" t="s">
        <v>35</v>
      </c>
      <c r="N43" s="6" t="s">
        <v>245</v>
      </c>
      <c r="O43" s="6" t="s">
        <v>255</v>
      </c>
      <c r="P43" s="6" t="s">
        <v>256</v>
      </c>
      <c r="T43" s="6" t="s">
        <v>257</v>
      </c>
      <c r="U43" s="7">
        <f t="shared" si="0"/>
        <v>45668</v>
      </c>
      <c r="V43" s="6">
        <f t="shared" si="1"/>
        <v>2</v>
      </c>
      <c r="W43" s="8" t="str">
        <f t="shared" si="2"/>
        <v>13:50</v>
      </c>
      <c r="X43" s="8" t="str">
        <f t="shared" si="3"/>
        <v>17:00</v>
      </c>
      <c r="Y43" s="9">
        <f t="shared" si="4"/>
        <v>0.13194444444444453</v>
      </c>
      <c r="Z43" s="22" t="str">
        <f t="shared" si="6"/>
        <v>2025-01-11 토 (13:50~17:00) : 3시간 10분</v>
      </c>
      <c r="AA43" s="22"/>
      <c r="AB43" s="6" t="str">
        <f ca="1">_xlfn.XLOOKUP(I43, 기초데이터!$C$2:$C$305, 기초데이터!$U$2:$U$305)</f>
        <v>dbsong@neurophet.com</v>
      </c>
    </row>
    <row r="44" spans="1:28" x14ac:dyDescent="0.3">
      <c r="A44" s="6">
        <f>SUBTOTAL(3,$I$2:I44)*1</f>
        <v>43</v>
      </c>
      <c r="B44" s="21" t="s">
        <v>26</v>
      </c>
      <c r="C44" s="6" t="s">
        <v>254</v>
      </c>
      <c r="D44" s="6">
        <v>1</v>
      </c>
      <c r="E44" s="6" t="s">
        <v>70</v>
      </c>
      <c r="F44" s="6">
        <v>0</v>
      </c>
      <c r="G44" s="6" t="s">
        <v>167</v>
      </c>
      <c r="H44" s="6" t="s">
        <v>30</v>
      </c>
      <c r="I44" s="6" t="s">
        <v>206</v>
      </c>
      <c r="J44" s="6" t="s">
        <v>207</v>
      </c>
      <c r="K44" s="6" t="s">
        <v>33</v>
      </c>
      <c r="L44" s="6" t="s">
        <v>34</v>
      </c>
      <c r="M44" s="6" t="s">
        <v>35</v>
      </c>
      <c r="N44" s="6" t="s">
        <v>245</v>
      </c>
      <c r="O44" s="6" t="s">
        <v>258</v>
      </c>
      <c r="P44" s="6" t="s">
        <v>259</v>
      </c>
      <c r="T44" s="6" t="s">
        <v>260</v>
      </c>
      <c r="U44" s="7">
        <f t="shared" si="0"/>
        <v>45668</v>
      </c>
      <c r="V44" s="6">
        <f t="shared" si="1"/>
        <v>2</v>
      </c>
      <c r="W44" s="8" t="str">
        <f t="shared" si="2"/>
        <v>13:50</v>
      </c>
      <c r="X44" s="8" t="str">
        <f t="shared" si="3"/>
        <v>17:00</v>
      </c>
      <c r="Y44" s="9">
        <f t="shared" si="4"/>
        <v>0.13194444444444453</v>
      </c>
      <c r="Z44" s="22" t="str">
        <f t="shared" si="6"/>
        <v>2025-01-11 토 (13:50~17:00) : 3시간 10분</v>
      </c>
      <c r="AA44" s="22"/>
      <c r="AB44" s="6" t="str">
        <f ca="1">_xlfn.XLOOKUP(I44, 기초데이터!$C$2:$C$305, 기초데이터!$U$2:$U$305)</f>
        <v>sywhang@neurophet.com</v>
      </c>
    </row>
    <row r="45" spans="1:28" x14ac:dyDescent="0.3">
      <c r="A45" s="6">
        <f>SUBTOTAL(3,$I$2:I45)*1</f>
        <v>44</v>
      </c>
      <c r="B45" s="21" t="s">
        <v>26</v>
      </c>
      <c r="C45" s="6" t="s">
        <v>261</v>
      </c>
      <c r="D45" s="6">
        <v>1</v>
      </c>
      <c r="E45" s="6" t="s">
        <v>63</v>
      </c>
      <c r="F45" s="6">
        <v>0</v>
      </c>
      <c r="G45" s="6" t="s">
        <v>131</v>
      </c>
      <c r="H45" s="6" t="s">
        <v>56</v>
      </c>
      <c r="I45" s="6" t="s">
        <v>132</v>
      </c>
      <c r="J45" s="6" t="s">
        <v>133</v>
      </c>
      <c r="K45" s="6" t="s">
        <v>33</v>
      </c>
      <c r="L45" s="6" t="s">
        <v>34</v>
      </c>
      <c r="M45" s="6" t="s">
        <v>35</v>
      </c>
      <c r="N45" s="6" t="s">
        <v>245</v>
      </c>
      <c r="O45" s="6" t="s">
        <v>262</v>
      </c>
      <c r="P45" s="6" t="s">
        <v>263</v>
      </c>
      <c r="T45" s="6" t="s">
        <v>264</v>
      </c>
      <c r="U45" s="7">
        <f t="shared" si="0"/>
        <v>45667</v>
      </c>
      <c r="V45" s="6">
        <f t="shared" si="1"/>
        <v>2</v>
      </c>
      <c r="W45" s="8" t="str">
        <f t="shared" si="2"/>
        <v>17:30</v>
      </c>
      <c r="X45" s="8" t="str">
        <f t="shared" si="3"/>
        <v>20:30</v>
      </c>
      <c r="Y45" s="9">
        <f t="shared" si="4"/>
        <v>0.125</v>
      </c>
      <c r="Z45" s="22" t="str">
        <f t="shared" si="6"/>
        <v>2025-01-10 금 (17:30~20:30) : 3시간</v>
      </c>
      <c r="AA45" s="22"/>
      <c r="AB45" s="6" t="str">
        <f ca="1">_xlfn.XLOOKUP(I45, 기초데이터!$C$2:$C$305, 기초데이터!$U$2:$U$305)</f>
        <v>kelly.seo@neurophet.com</v>
      </c>
    </row>
    <row r="46" spans="1:28" x14ac:dyDescent="0.3">
      <c r="A46" s="6">
        <f>SUBTOTAL(3,$I$2:I46)*1</f>
        <v>45</v>
      </c>
      <c r="B46" s="21" t="s">
        <v>26</v>
      </c>
      <c r="C46" s="6" t="s">
        <v>265</v>
      </c>
      <c r="D46" s="6">
        <v>1</v>
      </c>
      <c r="E46" s="6" t="s">
        <v>63</v>
      </c>
      <c r="F46" s="6">
        <v>0</v>
      </c>
      <c r="G46" s="6" t="s">
        <v>167</v>
      </c>
      <c r="H46" s="6" t="s">
        <v>30</v>
      </c>
      <c r="I46" s="6" t="s">
        <v>206</v>
      </c>
      <c r="J46" s="6" t="s">
        <v>207</v>
      </c>
      <c r="K46" s="6" t="s">
        <v>33</v>
      </c>
      <c r="L46" s="6" t="s">
        <v>34</v>
      </c>
      <c r="M46" s="6" t="s">
        <v>35</v>
      </c>
      <c r="N46" s="6" t="s">
        <v>245</v>
      </c>
      <c r="O46" s="6" t="s">
        <v>258</v>
      </c>
      <c r="P46" s="6" t="s">
        <v>259</v>
      </c>
      <c r="T46" s="6" t="s">
        <v>266</v>
      </c>
      <c r="U46" s="7">
        <f t="shared" si="0"/>
        <v>45666</v>
      </c>
      <c r="V46" s="6">
        <f t="shared" si="1"/>
        <v>2</v>
      </c>
      <c r="W46" s="8" t="str">
        <f t="shared" si="2"/>
        <v>17:43</v>
      </c>
      <c r="X46" s="8" t="str">
        <f t="shared" si="3"/>
        <v>20:43</v>
      </c>
      <c r="Y46" s="9">
        <f t="shared" si="4"/>
        <v>0.125</v>
      </c>
      <c r="Z46" s="22" t="str">
        <f t="shared" si="6"/>
        <v>2025-01-09 목 (17:43~20:43) : 3시간</v>
      </c>
      <c r="AA46" s="22"/>
      <c r="AB46" s="6" t="str">
        <f ca="1">_xlfn.XLOOKUP(I46, 기초데이터!$C$2:$C$305, 기초데이터!$U$2:$U$305)</f>
        <v>sywhang@neurophet.com</v>
      </c>
    </row>
    <row r="47" spans="1:28" x14ac:dyDescent="0.3">
      <c r="A47" s="6">
        <f>SUBTOTAL(3,$I$2:I47)*1</f>
        <v>46</v>
      </c>
      <c r="B47" s="21" t="s">
        <v>26</v>
      </c>
      <c r="C47" s="6" t="s">
        <v>267</v>
      </c>
      <c r="D47" s="6">
        <v>1</v>
      </c>
      <c r="E47" s="6" t="s">
        <v>128</v>
      </c>
      <c r="F47" s="6">
        <v>0</v>
      </c>
      <c r="G47" s="6" t="s">
        <v>268</v>
      </c>
      <c r="H47" s="6" t="s">
        <v>30</v>
      </c>
      <c r="I47" s="6" t="s">
        <v>269</v>
      </c>
      <c r="J47" s="6" t="s">
        <v>270</v>
      </c>
      <c r="K47" s="6" t="s">
        <v>33</v>
      </c>
      <c r="L47" s="6" t="s">
        <v>34</v>
      </c>
      <c r="M47" s="6" t="s">
        <v>35</v>
      </c>
      <c r="N47" s="6" t="s">
        <v>271</v>
      </c>
      <c r="O47" s="6" t="s">
        <v>272</v>
      </c>
      <c r="P47" s="6" t="s">
        <v>273</v>
      </c>
      <c r="T47" s="6" t="s">
        <v>274</v>
      </c>
      <c r="U47" s="7">
        <f t="shared" si="0"/>
        <v>45665</v>
      </c>
      <c r="V47" s="6">
        <f t="shared" si="1"/>
        <v>2</v>
      </c>
      <c r="W47" s="8" t="str">
        <f t="shared" si="2"/>
        <v>16:30</v>
      </c>
      <c r="X47" s="8" t="str">
        <f t="shared" si="3"/>
        <v>18:30</v>
      </c>
      <c r="Y47" s="9">
        <f t="shared" si="4"/>
        <v>8.333333333333337E-2</v>
      </c>
      <c r="Z47" s="22" t="str">
        <f t="shared" si="6"/>
        <v>2025-01-08 수 (16:30~18:30) : 2시간</v>
      </c>
      <c r="AA47" s="22"/>
      <c r="AB47" s="6" t="str">
        <f ca="1">_xlfn.XLOOKUP(I47, 기초데이터!$C$2:$C$305, 기초데이터!$U$2:$U$305)</f>
        <v>hyesin.lee@neurophet.com</v>
      </c>
    </row>
    <row r="48" spans="1:28" x14ac:dyDescent="0.3">
      <c r="A48" s="6">
        <f>SUBTOTAL(3,$I$2:I48)*1</f>
        <v>47</v>
      </c>
      <c r="B48" s="21" t="s">
        <v>26</v>
      </c>
      <c r="C48" s="6" t="s">
        <v>275</v>
      </c>
      <c r="D48" s="6">
        <v>1</v>
      </c>
      <c r="E48" s="6" t="s">
        <v>128</v>
      </c>
      <c r="F48" s="6">
        <v>0</v>
      </c>
      <c r="G48" s="6" t="s">
        <v>276</v>
      </c>
      <c r="H48" s="6" t="s">
        <v>56</v>
      </c>
      <c r="I48" s="6" t="s">
        <v>277</v>
      </c>
      <c r="J48" s="6" t="s">
        <v>278</v>
      </c>
      <c r="K48" s="6" t="s">
        <v>33</v>
      </c>
      <c r="L48" s="6" t="s">
        <v>34</v>
      </c>
      <c r="M48" s="6" t="s">
        <v>35</v>
      </c>
      <c r="N48" s="6" t="s">
        <v>208</v>
      </c>
      <c r="O48" s="6" t="s">
        <v>279</v>
      </c>
      <c r="P48" s="6" t="s">
        <v>280</v>
      </c>
      <c r="T48" s="6" t="s">
        <v>281</v>
      </c>
      <c r="U48" s="7">
        <f t="shared" si="0"/>
        <v>45665</v>
      </c>
      <c r="V48" s="6">
        <f t="shared" si="1"/>
        <v>2</v>
      </c>
      <c r="W48" s="8" t="str">
        <f t="shared" si="2"/>
        <v>18:12</v>
      </c>
      <c r="X48" s="8" t="str">
        <f t="shared" si="3"/>
        <v>20:15</v>
      </c>
      <c r="Y48" s="9">
        <f t="shared" si="4"/>
        <v>8.5416666666666696E-2</v>
      </c>
      <c r="Z48" s="22" t="str">
        <f t="shared" si="6"/>
        <v>2025-01-08 수 (18:12~20:15) : 2시간 3분</v>
      </c>
      <c r="AA48" s="22"/>
      <c r="AB48" s="6" t="str">
        <f ca="1">_xlfn.XLOOKUP(I48, 기초데이터!$C$2:$C$305, 기초데이터!$U$2:$U$305)</f>
        <v>bekim@neurophet.com</v>
      </c>
    </row>
    <row r="49" spans="1:28" x14ac:dyDescent="0.3">
      <c r="A49" s="6">
        <f>SUBTOTAL(3,$I$2:I49)*1</f>
        <v>48</v>
      </c>
      <c r="B49" s="21" t="s">
        <v>26</v>
      </c>
      <c r="C49" s="6" t="s">
        <v>282</v>
      </c>
      <c r="D49" s="6">
        <v>1</v>
      </c>
      <c r="E49" s="6" t="s">
        <v>41</v>
      </c>
      <c r="F49" s="6">
        <v>0</v>
      </c>
      <c r="G49" s="6" t="s">
        <v>283</v>
      </c>
      <c r="H49" s="6" t="s">
        <v>30</v>
      </c>
      <c r="I49" s="6" t="s">
        <v>284</v>
      </c>
      <c r="J49" s="6" t="s">
        <v>285</v>
      </c>
      <c r="K49" s="6" t="s">
        <v>33</v>
      </c>
      <c r="L49" s="6" t="s">
        <v>34</v>
      </c>
      <c r="M49" s="6" t="s">
        <v>35</v>
      </c>
      <c r="N49" s="6" t="s">
        <v>142</v>
      </c>
      <c r="O49" s="6" t="s">
        <v>286</v>
      </c>
      <c r="P49" s="6" t="s">
        <v>287</v>
      </c>
      <c r="T49" s="6" t="s">
        <v>288</v>
      </c>
      <c r="U49" s="7">
        <f t="shared" si="0"/>
        <v>45665</v>
      </c>
      <c r="V49" s="6">
        <f t="shared" si="1"/>
        <v>2</v>
      </c>
      <c r="W49" s="8" t="str">
        <f t="shared" si="2"/>
        <v>16:30</v>
      </c>
      <c r="X49" s="8" t="str">
        <f t="shared" si="3"/>
        <v>18:50</v>
      </c>
      <c r="Y49" s="9">
        <f t="shared" si="4"/>
        <v>9.722222222222221E-2</v>
      </c>
      <c r="Z49" s="22" t="str">
        <f t="shared" si="6"/>
        <v>2025-01-08 수 (16:30~18:50) : 2시간 20분</v>
      </c>
      <c r="AA49" s="22"/>
      <c r="AB49" s="6" t="str">
        <f ca="1">_xlfn.XLOOKUP(I49, 기초데이터!$C$2:$C$305, 기초데이터!$U$2:$U$305)</f>
        <v>hmseong@neurophet.com</v>
      </c>
    </row>
    <row r="50" spans="1:28" x14ac:dyDescent="0.3">
      <c r="A50" s="6">
        <f>SUBTOTAL(3,$I$2:I50)*1</f>
        <v>49</v>
      </c>
      <c r="B50" s="21" t="s">
        <v>26</v>
      </c>
      <c r="C50" s="6" t="s">
        <v>289</v>
      </c>
      <c r="D50" s="6">
        <v>1</v>
      </c>
      <c r="E50" s="6" t="s">
        <v>63</v>
      </c>
      <c r="F50" s="6">
        <v>0</v>
      </c>
      <c r="G50" s="6" t="s">
        <v>290</v>
      </c>
      <c r="H50" s="6" t="s">
        <v>30</v>
      </c>
      <c r="I50" s="6" t="s">
        <v>291</v>
      </c>
      <c r="J50" s="6" t="s">
        <v>292</v>
      </c>
      <c r="K50" s="6" t="s">
        <v>33</v>
      </c>
      <c r="L50" s="6" t="s">
        <v>34</v>
      </c>
      <c r="M50" s="6" t="s">
        <v>35</v>
      </c>
      <c r="N50" s="6" t="s">
        <v>245</v>
      </c>
      <c r="O50" s="6" t="s">
        <v>293</v>
      </c>
      <c r="P50" s="6" t="s">
        <v>294</v>
      </c>
      <c r="T50" s="6" t="s">
        <v>295</v>
      </c>
      <c r="U50" s="7">
        <f t="shared" si="0"/>
        <v>45664</v>
      </c>
      <c r="V50" s="6">
        <f t="shared" si="1"/>
        <v>2</v>
      </c>
      <c r="W50" s="8" t="str">
        <f t="shared" si="2"/>
        <v>19:40</v>
      </c>
      <c r="X50" s="8" t="str">
        <f t="shared" si="3"/>
        <v>22:40</v>
      </c>
      <c r="Y50" s="9">
        <f t="shared" si="4"/>
        <v>0.125</v>
      </c>
      <c r="Z50" s="22" t="str">
        <f t="shared" si="6"/>
        <v>2025-01-07 화 (19:40~22:40) : 3시간</v>
      </c>
      <c r="AA50" s="22"/>
      <c r="AB50" s="6" t="str">
        <f ca="1">_xlfn.XLOOKUP(I50, 기초데이터!$C$2:$C$305, 기초데이터!$U$2:$U$305)</f>
        <v>sdkim@neurophet.com</v>
      </c>
    </row>
    <row r="51" spans="1:28" x14ac:dyDescent="0.3">
      <c r="A51" s="6">
        <f>SUBTOTAL(3,$I$2:I51)*1</f>
        <v>50</v>
      </c>
      <c r="B51" s="21" t="s">
        <v>26</v>
      </c>
      <c r="C51" s="6" t="s">
        <v>296</v>
      </c>
      <c r="D51" s="6">
        <v>1</v>
      </c>
      <c r="E51" s="6" t="s">
        <v>53</v>
      </c>
      <c r="F51" s="6">
        <v>0</v>
      </c>
      <c r="G51" s="6" t="s">
        <v>283</v>
      </c>
      <c r="H51" s="6" t="s">
        <v>30</v>
      </c>
      <c r="I51" s="6" t="s">
        <v>284</v>
      </c>
      <c r="J51" s="6" t="s">
        <v>285</v>
      </c>
      <c r="K51" s="6" t="s">
        <v>33</v>
      </c>
      <c r="L51" s="6" t="s">
        <v>34</v>
      </c>
      <c r="M51" s="6" t="s">
        <v>35</v>
      </c>
      <c r="N51" s="6" t="s">
        <v>142</v>
      </c>
      <c r="O51" s="6" t="s">
        <v>286</v>
      </c>
      <c r="P51" s="6" t="s">
        <v>287</v>
      </c>
      <c r="T51" s="6" t="s">
        <v>297</v>
      </c>
      <c r="U51" s="7">
        <f t="shared" si="0"/>
        <v>45664</v>
      </c>
      <c r="V51" s="6">
        <f t="shared" si="1"/>
        <v>2</v>
      </c>
      <c r="W51" s="8" t="str">
        <f t="shared" si="2"/>
        <v>16:00</v>
      </c>
      <c r="X51" s="8" t="str">
        <f t="shared" si="3"/>
        <v>20:00</v>
      </c>
      <c r="Y51" s="9">
        <f t="shared" si="4"/>
        <v>0.16666666666666674</v>
      </c>
      <c r="Z51" s="22" t="str">
        <f t="shared" si="6"/>
        <v>2025-01-07 화 (16:00~20:00) : 4시간</v>
      </c>
      <c r="AA51" s="22"/>
      <c r="AB51" s="6" t="str">
        <f ca="1">_xlfn.XLOOKUP(I51, 기초데이터!$C$2:$C$305, 기초데이터!$U$2:$U$305)</f>
        <v>hmseong@neurophet.com</v>
      </c>
    </row>
    <row r="52" spans="1:28" x14ac:dyDescent="0.3">
      <c r="A52" s="6">
        <f>SUBTOTAL(3,$I$2:I52)*1</f>
        <v>51</v>
      </c>
      <c r="B52" s="21" t="s">
        <v>26</v>
      </c>
      <c r="C52" s="6" t="s">
        <v>298</v>
      </c>
      <c r="D52" s="6">
        <v>1</v>
      </c>
      <c r="E52" s="6" t="s">
        <v>55</v>
      </c>
      <c r="F52" s="6">
        <v>0</v>
      </c>
      <c r="G52" s="6" t="s">
        <v>175</v>
      </c>
      <c r="H52" s="6" t="s">
        <v>30</v>
      </c>
      <c r="I52" s="6" t="s">
        <v>176</v>
      </c>
      <c r="J52" s="6" t="s">
        <v>177</v>
      </c>
      <c r="K52" s="6" t="s">
        <v>33</v>
      </c>
      <c r="L52" s="6" t="s">
        <v>34</v>
      </c>
      <c r="M52" s="6" t="s">
        <v>35</v>
      </c>
      <c r="N52" s="6" t="s">
        <v>299</v>
      </c>
      <c r="O52" s="6" t="s">
        <v>300</v>
      </c>
      <c r="P52" s="6" t="s">
        <v>301</v>
      </c>
      <c r="U52" s="7">
        <f t="shared" si="0"/>
        <v>45663</v>
      </c>
      <c r="V52" s="6">
        <f t="shared" si="1"/>
        <v>2</v>
      </c>
      <c r="W52" s="8" t="str">
        <f t="shared" si="2"/>
        <v>17:30</v>
      </c>
      <c r="X52" s="8" t="str">
        <f t="shared" si="3"/>
        <v>20:00</v>
      </c>
      <c r="Y52" s="9">
        <f t="shared" si="4"/>
        <v>0.10416666666666674</v>
      </c>
      <c r="Z52" s="22" t="str">
        <f t="shared" si="6"/>
        <v>2025-01-06 월 (17:30~20:00) : 2시간 30분</v>
      </c>
      <c r="AA52" s="22"/>
      <c r="AB52" s="6" t="str">
        <f ca="1">_xlfn.XLOOKUP(I52, 기초데이터!$C$2:$C$305, 기초데이터!$U$2:$U$305)</f>
        <v>rkhong@neurophet.com</v>
      </c>
    </row>
    <row r="53" spans="1:28" x14ac:dyDescent="0.3">
      <c r="A53" s="6">
        <f>SUBTOTAL(3,$I$2:I53)*1</f>
        <v>52</v>
      </c>
      <c r="B53" s="21" t="s">
        <v>26</v>
      </c>
      <c r="C53" s="6" t="s">
        <v>302</v>
      </c>
      <c r="D53" s="6">
        <v>1</v>
      </c>
      <c r="E53" s="6" t="s">
        <v>303</v>
      </c>
      <c r="F53" s="6">
        <v>0</v>
      </c>
      <c r="G53" s="6" t="s">
        <v>167</v>
      </c>
      <c r="H53" s="6" t="s">
        <v>30</v>
      </c>
      <c r="I53" s="6" t="s">
        <v>304</v>
      </c>
      <c r="J53" s="6" t="s">
        <v>305</v>
      </c>
      <c r="K53" s="6" t="s">
        <v>33</v>
      </c>
      <c r="L53" s="6" t="s">
        <v>34</v>
      </c>
      <c r="M53" s="6" t="s">
        <v>35</v>
      </c>
      <c r="N53" s="6" t="s">
        <v>306</v>
      </c>
      <c r="O53" s="6" t="s">
        <v>307</v>
      </c>
      <c r="P53" s="6" t="s">
        <v>308</v>
      </c>
      <c r="T53" s="6" t="s">
        <v>309</v>
      </c>
      <c r="U53" s="7">
        <f t="shared" si="0"/>
        <v>45663</v>
      </c>
      <c r="V53" s="6">
        <f t="shared" si="1"/>
        <v>2</v>
      </c>
      <c r="W53" s="8" t="str">
        <f t="shared" si="2"/>
        <v>18:11</v>
      </c>
      <c r="X53" s="8" t="str">
        <f t="shared" si="3"/>
        <v>20:19</v>
      </c>
      <c r="Y53" s="9">
        <f t="shared" si="4"/>
        <v>8.8888888888888906E-2</v>
      </c>
      <c r="Z53" s="22" t="str">
        <f t="shared" si="6"/>
        <v>2025-01-06 월 (18:11~20:19) : 2시간 8분</v>
      </c>
      <c r="AA53" s="22"/>
      <c r="AB53" s="6" t="str">
        <f ca="1">_xlfn.XLOOKUP(I53, 기초데이터!$C$2:$C$305, 기초데이터!$U$2:$U$305)</f>
        <v>hnjang@neurophet.com</v>
      </c>
    </row>
    <row r="54" spans="1:28" x14ac:dyDescent="0.3">
      <c r="A54" s="6">
        <f>SUBTOTAL(3,$I$2:I54)*1</f>
        <v>53</v>
      </c>
      <c r="B54" s="21" t="s">
        <v>26</v>
      </c>
      <c r="C54" s="6" t="s">
        <v>310</v>
      </c>
      <c r="D54" s="6">
        <v>1</v>
      </c>
      <c r="E54" s="6" t="s">
        <v>63</v>
      </c>
      <c r="F54" s="6">
        <v>0</v>
      </c>
      <c r="G54" s="6" t="s">
        <v>167</v>
      </c>
      <c r="H54" s="6" t="s">
        <v>56</v>
      </c>
      <c r="I54" s="6" t="s">
        <v>184</v>
      </c>
      <c r="J54" s="6" t="s">
        <v>185</v>
      </c>
      <c r="K54" s="6" t="s">
        <v>33</v>
      </c>
      <c r="L54" s="6" t="s">
        <v>34</v>
      </c>
      <c r="M54" s="6" t="s">
        <v>35</v>
      </c>
      <c r="N54" s="6" t="s">
        <v>245</v>
      </c>
      <c r="O54" s="6" t="s">
        <v>255</v>
      </c>
      <c r="P54" s="6" t="s">
        <v>256</v>
      </c>
      <c r="T54" s="6" t="s">
        <v>311</v>
      </c>
      <c r="U54" s="7">
        <f t="shared" si="0"/>
        <v>45663</v>
      </c>
      <c r="V54" s="6">
        <f t="shared" si="1"/>
        <v>2</v>
      </c>
      <c r="W54" s="8" t="str">
        <f t="shared" si="2"/>
        <v>17:20</v>
      </c>
      <c r="X54" s="8" t="str">
        <f t="shared" si="3"/>
        <v>20:19</v>
      </c>
      <c r="Y54" s="9">
        <f t="shared" si="4"/>
        <v>0.12430555555555556</v>
      </c>
      <c r="Z54" s="22" t="str">
        <f t="shared" si="6"/>
        <v>2025-01-06 월 (17:20~20:19) : 2시간 59분</v>
      </c>
      <c r="AA54" s="22"/>
      <c r="AB54" s="6" t="str">
        <f ca="1">_xlfn.XLOOKUP(I54, 기초데이터!$C$2:$C$305, 기초데이터!$U$2:$U$305)</f>
        <v>dbsong@neurophet.com</v>
      </c>
    </row>
    <row r="55" spans="1:28" x14ac:dyDescent="0.3">
      <c r="A55" s="6">
        <f>SUBTOTAL(3,$I$2:I55)*1</f>
        <v>54</v>
      </c>
      <c r="B55" s="21" t="s">
        <v>26</v>
      </c>
      <c r="C55" s="6" t="s">
        <v>312</v>
      </c>
      <c r="D55" s="6">
        <v>1</v>
      </c>
      <c r="E55" s="6" t="s">
        <v>303</v>
      </c>
      <c r="F55" s="6">
        <v>0</v>
      </c>
      <c r="G55" s="6" t="s">
        <v>167</v>
      </c>
      <c r="H55" s="6" t="s">
        <v>30</v>
      </c>
      <c r="I55" s="6" t="s">
        <v>168</v>
      </c>
      <c r="J55" s="6" t="s">
        <v>169</v>
      </c>
      <c r="K55" s="6" t="s">
        <v>33</v>
      </c>
      <c r="L55" s="6" t="s">
        <v>34</v>
      </c>
      <c r="M55" s="6" t="s">
        <v>35</v>
      </c>
      <c r="N55" s="6" t="s">
        <v>245</v>
      </c>
      <c r="O55" s="6" t="s">
        <v>313</v>
      </c>
      <c r="P55" s="6" t="s">
        <v>314</v>
      </c>
      <c r="T55" s="6" t="s">
        <v>315</v>
      </c>
      <c r="U55" s="7">
        <f t="shared" si="0"/>
        <v>45663</v>
      </c>
      <c r="V55" s="6">
        <f t="shared" si="1"/>
        <v>2</v>
      </c>
      <c r="W55" s="8" t="str">
        <f t="shared" si="2"/>
        <v>18:15</v>
      </c>
      <c r="X55" s="8" t="str">
        <f t="shared" si="3"/>
        <v>20:19</v>
      </c>
      <c r="Y55" s="9">
        <f t="shared" si="4"/>
        <v>8.6111111111111138E-2</v>
      </c>
      <c r="Z55" s="22" t="str">
        <f t="shared" si="6"/>
        <v>2025-01-06 월 (18:15~20:19) : 2시간 4분</v>
      </c>
      <c r="AA55" s="22"/>
      <c r="AB55" s="6" t="str">
        <f ca="1">_xlfn.XLOOKUP(I55, 기초데이터!$C$2:$C$305, 기초데이터!$U$2:$U$305)</f>
        <v>selee@neurophet.com</v>
      </c>
    </row>
    <row r="56" spans="1:28" x14ac:dyDescent="0.3">
      <c r="A56" s="6">
        <f>SUBTOTAL(3,$I$2:I56)*1</f>
        <v>55</v>
      </c>
      <c r="B56" s="21" t="s">
        <v>26</v>
      </c>
      <c r="C56" s="6" t="s">
        <v>316</v>
      </c>
      <c r="D56" s="6">
        <v>1</v>
      </c>
      <c r="E56" s="6" t="s">
        <v>303</v>
      </c>
      <c r="F56" s="6">
        <v>0</v>
      </c>
      <c r="G56" s="6" t="s">
        <v>29</v>
      </c>
      <c r="H56" s="6" t="s">
        <v>30</v>
      </c>
      <c r="I56" s="6" t="s">
        <v>64</v>
      </c>
      <c r="J56" s="6" t="s">
        <v>65</v>
      </c>
      <c r="K56" s="6" t="s">
        <v>33</v>
      </c>
      <c r="L56" s="6" t="s">
        <v>34</v>
      </c>
      <c r="M56" s="6" t="s">
        <v>35</v>
      </c>
      <c r="N56" s="6" t="s">
        <v>213</v>
      </c>
      <c r="O56" s="6" t="s">
        <v>317</v>
      </c>
      <c r="P56" s="6" t="s">
        <v>318</v>
      </c>
      <c r="T56" s="6" t="s">
        <v>319</v>
      </c>
      <c r="U56" s="7">
        <f t="shared" si="0"/>
        <v>45663</v>
      </c>
      <c r="V56" s="6">
        <f t="shared" si="1"/>
        <v>2</v>
      </c>
      <c r="W56" s="8" t="str">
        <f t="shared" si="2"/>
        <v>17:06</v>
      </c>
      <c r="X56" s="8" t="str">
        <f t="shared" si="3"/>
        <v>19:11</v>
      </c>
      <c r="Y56" s="9">
        <f t="shared" si="4"/>
        <v>8.680555555555558E-2</v>
      </c>
      <c r="Z56" s="22" t="str">
        <f t="shared" si="6"/>
        <v>2025-01-06 월 (17:06~19:11) : 2시간 5분</v>
      </c>
      <c r="AA56" s="22"/>
      <c r="AB56" s="6" t="str">
        <f ca="1">_xlfn.XLOOKUP(I56, 기초데이터!$C$2:$C$305, 기초데이터!$U$2:$U$305)</f>
        <v>doyeon@neurophet.com</v>
      </c>
    </row>
    <row r="57" spans="1:28" x14ac:dyDescent="0.3">
      <c r="A57" s="6">
        <f>SUBTOTAL(3,$I$2:I57)*1</f>
        <v>56</v>
      </c>
      <c r="B57" s="21" t="s">
        <v>26</v>
      </c>
      <c r="C57" s="6" t="s">
        <v>320</v>
      </c>
      <c r="D57" s="6">
        <v>1</v>
      </c>
      <c r="E57" s="6" t="s">
        <v>128</v>
      </c>
      <c r="F57" s="6">
        <v>0</v>
      </c>
      <c r="G57" s="6" t="s">
        <v>290</v>
      </c>
      <c r="H57" s="6" t="s">
        <v>30</v>
      </c>
      <c r="I57" s="6" t="s">
        <v>291</v>
      </c>
      <c r="J57" s="6" t="s">
        <v>292</v>
      </c>
      <c r="K57" s="6" t="s">
        <v>33</v>
      </c>
      <c r="L57" s="6" t="s">
        <v>34</v>
      </c>
      <c r="M57" s="6" t="s">
        <v>35</v>
      </c>
      <c r="N57" s="6" t="s">
        <v>321</v>
      </c>
      <c r="O57" s="6" t="s">
        <v>322</v>
      </c>
      <c r="P57" s="6" t="s">
        <v>323</v>
      </c>
      <c r="T57" s="6" t="s">
        <v>324</v>
      </c>
      <c r="U57" s="7">
        <f t="shared" si="0"/>
        <v>45660</v>
      </c>
      <c r="V57" s="6">
        <f t="shared" si="1"/>
        <v>1</v>
      </c>
      <c r="W57" s="8" t="str">
        <f t="shared" si="2"/>
        <v>18:39</v>
      </c>
      <c r="X57" s="8" t="str">
        <f t="shared" si="3"/>
        <v>20:39</v>
      </c>
      <c r="Y57" s="9">
        <f t="shared" si="4"/>
        <v>8.333333333333337E-2</v>
      </c>
      <c r="Z57" s="22" t="str">
        <f t="shared" si="6"/>
        <v>2025-01-03 금 (18:39~20:39) : 2시간</v>
      </c>
      <c r="AA57" s="22"/>
      <c r="AB57" s="6" t="str">
        <f ca="1">_xlfn.XLOOKUP(I57, 기초데이터!$C$2:$C$305, 기초데이터!$U$2:$U$305)</f>
        <v>sdkim@neurophet.com</v>
      </c>
    </row>
    <row r="58" spans="1:28" x14ac:dyDescent="0.3">
      <c r="A58" s="6">
        <f>SUBTOTAL(3,$I$2:I58)*1</f>
        <v>57</v>
      </c>
      <c r="B58" s="21" t="s">
        <v>26</v>
      </c>
      <c r="C58" s="6" t="s">
        <v>325</v>
      </c>
      <c r="D58" s="6">
        <v>1</v>
      </c>
      <c r="E58" s="6" t="s">
        <v>55</v>
      </c>
      <c r="F58" s="6">
        <v>0</v>
      </c>
      <c r="G58" s="6" t="s">
        <v>326</v>
      </c>
      <c r="H58" s="6" t="s">
        <v>56</v>
      </c>
      <c r="I58" s="6" t="s">
        <v>327</v>
      </c>
      <c r="J58" s="6" t="s">
        <v>328</v>
      </c>
      <c r="K58" s="6" t="s">
        <v>33</v>
      </c>
      <c r="L58" s="6" t="s">
        <v>34</v>
      </c>
      <c r="M58" s="6" t="s">
        <v>35</v>
      </c>
      <c r="N58" s="6" t="s">
        <v>321</v>
      </c>
      <c r="O58" s="6" t="s">
        <v>329</v>
      </c>
      <c r="P58" s="6" t="s">
        <v>330</v>
      </c>
      <c r="T58" s="6" t="s">
        <v>331</v>
      </c>
      <c r="U58" s="7">
        <f t="shared" si="0"/>
        <v>45660</v>
      </c>
      <c r="V58" s="6">
        <f t="shared" si="1"/>
        <v>1</v>
      </c>
      <c r="W58" s="8" t="str">
        <f t="shared" si="2"/>
        <v>16:00</v>
      </c>
      <c r="X58" s="8" t="str">
        <f t="shared" si="3"/>
        <v>18:30</v>
      </c>
      <c r="Y58" s="9">
        <f t="shared" si="4"/>
        <v>0.10416666666666674</v>
      </c>
      <c r="Z58" s="22" t="str">
        <f t="shared" si="6"/>
        <v>2025-01-03 금 (16:00~18:30) : 2시간 30분</v>
      </c>
      <c r="AA58" s="22"/>
      <c r="AB58" s="6" t="str">
        <f ca="1">_xlfn.XLOOKUP(I58, 기초데이터!$C$2:$C$305, 기초데이터!$U$2:$U$305)</f>
        <v>kahee@neurophet.com</v>
      </c>
    </row>
    <row r="59" spans="1:28" x14ac:dyDescent="0.3">
      <c r="A59" s="6">
        <f>SUBTOTAL(3,$I$2:I59)*1</f>
        <v>58</v>
      </c>
      <c r="B59" s="21" t="s">
        <v>26</v>
      </c>
      <c r="C59" s="6" t="s">
        <v>332</v>
      </c>
      <c r="D59" s="6">
        <v>1</v>
      </c>
      <c r="E59" s="6" t="s">
        <v>63</v>
      </c>
      <c r="F59" s="6">
        <v>0</v>
      </c>
      <c r="G59" s="6" t="s">
        <v>160</v>
      </c>
      <c r="H59" s="6" t="s">
        <v>56</v>
      </c>
      <c r="I59" s="6" t="s">
        <v>333</v>
      </c>
      <c r="J59" s="6" t="s">
        <v>334</v>
      </c>
      <c r="K59" s="6" t="s">
        <v>33</v>
      </c>
      <c r="L59" s="6" t="s">
        <v>34</v>
      </c>
      <c r="M59" s="6" t="s">
        <v>35</v>
      </c>
      <c r="N59" s="6" t="s">
        <v>335</v>
      </c>
      <c r="O59" s="6" t="s">
        <v>336</v>
      </c>
      <c r="P59" s="6" t="s">
        <v>337</v>
      </c>
      <c r="T59" s="6" t="s">
        <v>338</v>
      </c>
      <c r="U59" s="7">
        <f t="shared" si="0"/>
        <v>45659</v>
      </c>
      <c r="V59" s="6">
        <f t="shared" si="1"/>
        <v>1</v>
      </c>
      <c r="W59" s="8" t="str">
        <f t="shared" si="2"/>
        <v>16:30</v>
      </c>
      <c r="X59" s="8" t="str">
        <f t="shared" si="3"/>
        <v>19:30</v>
      </c>
      <c r="Y59" s="9">
        <f t="shared" si="4"/>
        <v>0.125</v>
      </c>
      <c r="Z59" s="22" t="str">
        <f t="shared" si="6"/>
        <v>2025-01-02 목 (16:30~19:30) : 3시간</v>
      </c>
      <c r="AA59" s="22"/>
      <c r="AB59" s="6" t="str">
        <f ca="1">_xlfn.XLOOKUP(I59, 기초데이터!$C$2:$C$305, 기초데이터!$U$2:$U$305)</f>
        <v>ywcho@neurophet.com</v>
      </c>
    </row>
    <row r="60" spans="1:28" x14ac:dyDescent="0.3">
      <c r="A60" s="6">
        <f>SUBTOTAL(3,$I$2:I60)*1</f>
        <v>59</v>
      </c>
      <c r="B60" s="21" t="s">
        <v>26</v>
      </c>
      <c r="C60" s="6" t="s">
        <v>339</v>
      </c>
      <c r="D60" s="6">
        <v>1</v>
      </c>
      <c r="E60" s="6" t="s">
        <v>73</v>
      </c>
      <c r="F60" s="6">
        <v>0</v>
      </c>
      <c r="G60" s="6" t="s">
        <v>340</v>
      </c>
      <c r="H60" s="6" t="s">
        <v>30</v>
      </c>
      <c r="I60" s="6" t="s">
        <v>341</v>
      </c>
      <c r="J60" s="6" t="s">
        <v>342</v>
      </c>
      <c r="K60" s="6" t="s">
        <v>33</v>
      </c>
      <c r="L60" s="6" t="s">
        <v>34</v>
      </c>
      <c r="M60" s="6" t="s">
        <v>35</v>
      </c>
      <c r="N60" s="6" t="s">
        <v>321</v>
      </c>
      <c r="O60" s="6" t="s">
        <v>343</v>
      </c>
      <c r="P60" s="6" t="s">
        <v>344</v>
      </c>
      <c r="T60" s="6" t="s">
        <v>345</v>
      </c>
      <c r="U60" s="7">
        <f t="shared" si="0"/>
        <v>45659</v>
      </c>
      <c r="V60" s="6">
        <f t="shared" si="1"/>
        <v>1</v>
      </c>
      <c r="W60" s="8" t="str">
        <f t="shared" si="2"/>
        <v>17:15</v>
      </c>
      <c r="X60" s="8" t="str">
        <f t="shared" si="3"/>
        <v>20:10</v>
      </c>
      <c r="Y60" s="9">
        <f t="shared" si="4"/>
        <v>0.12152777777777779</v>
      </c>
      <c r="Z60" s="22" t="str">
        <f t="shared" si="6"/>
        <v>2025-01-02 목 (17:15~20:10) : 2시간 55분</v>
      </c>
      <c r="AA60" s="22"/>
      <c r="AB60" s="6" t="str">
        <f ca="1">_xlfn.XLOOKUP(I60, 기초데이터!$C$2:$C$305, 기초데이터!$U$2:$U$305)</f>
        <v>eunhyecho@neurophet.com</v>
      </c>
    </row>
    <row r="61" spans="1:28" x14ac:dyDescent="0.3">
      <c r="A61" s="6">
        <f>SUBTOTAL(3,$I$2:I61)*1</f>
        <v>60</v>
      </c>
      <c r="B61" s="21" t="s">
        <v>26</v>
      </c>
      <c r="C61" s="6" t="s">
        <v>346</v>
      </c>
      <c r="D61" s="6">
        <v>1</v>
      </c>
      <c r="E61" s="6" t="s">
        <v>347</v>
      </c>
      <c r="F61" s="6">
        <v>0</v>
      </c>
      <c r="G61" s="6" t="s">
        <v>148</v>
      </c>
      <c r="H61" s="6" t="s">
        <v>30</v>
      </c>
      <c r="I61" s="6" t="s">
        <v>348</v>
      </c>
      <c r="J61" s="6" t="s">
        <v>349</v>
      </c>
      <c r="K61" s="6" t="s">
        <v>33</v>
      </c>
      <c r="L61" s="6" t="s">
        <v>34</v>
      </c>
      <c r="M61" s="6" t="s">
        <v>35</v>
      </c>
      <c r="N61" s="6" t="s">
        <v>350</v>
      </c>
      <c r="O61" s="6" t="s">
        <v>351</v>
      </c>
      <c r="P61" s="6" t="s">
        <v>352</v>
      </c>
      <c r="T61" s="6" t="s">
        <v>353</v>
      </c>
      <c r="U61" s="7">
        <f t="shared" si="0"/>
        <v>45659</v>
      </c>
      <c r="V61" s="6">
        <f t="shared" si="1"/>
        <v>1</v>
      </c>
      <c r="W61" s="8" t="str">
        <f t="shared" si="2"/>
        <v>17:34</v>
      </c>
      <c r="X61" s="8" t="str">
        <f t="shared" si="3"/>
        <v>19:08</v>
      </c>
      <c r="Y61" s="9">
        <f t="shared" si="4"/>
        <v>6.5277777777777879E-2</v>
      </c>
      <c r="Z61" s="22" t="str">
        <f t="shared" si="6"/>
        <v>2025-01-02 목 (17:34~19:08) : 1시간 34분</v>
      </c>
      <c r="AA61" s="22"/>
      <c r="AB61" s="6" t="str">
        <f ca="1">_xlfn.XLOOKUP(I61, 기초데이터!$C$2:$C$305, 기초데이터!$U$2:$U$305)</f>
        <v>cwseo@neurophet.com</v>
      </c>
    </row>
    <row r="62" spans="1:28" x14ac:dyDescent="0.3">
      <c r="A62" s="6">
        <f>SUBTOTAL(3,$I$2:I62)*1</f>
        <v>61</v>
      </c>
      <c r="B62" s="21" t="s">
        <v>26</v>
      </c>
      <c r="C62" s="6" t="s">
        <v>354</v>
      </c>
      <c r="D62" s="6">
        <v>1</v>
      </c>
      <c r="E62" s="6" t="s">
        <v>107</v>
      </c>
      <c r="F62" s="6">
        <v>0</v>
      </c>
      <c r="G62" s="6" t="s">
        <v>355</v>
      </c>
      <c r="H62" s="6" t="s">
        <v>30</v>
      </c>
      <c r="I62" s="6" t="s">
        <v>356</v>
      </c>
      <c r="J62" s="6" t="s">
        <v>357</v>
      </c>
      <c r="K62" s="6" t="s">
        <v>33</v>
      </c>
      <c r="L62" s="6" t="s">
        <v>34</v>
      </c>
      <c r="M62" s="6" t="s">
        <v>35</v>
      </c>
      <c r="N62" s="6" t="s">
        <v>358</v>
      </c>
      <c r="O62" s="6" t="s">
        <v>359</v>
      </c>
      <c r="P62" s="6" t="s">
        <v>360</v>
      </c>
      <c r="T62" s="6" t="s">
        <v>361</v>
      </c>
      <c r="U62" s="7">
        <f t="shared" si="0"/>
        <v>45659</v>
      </c>
      <c r="V62" s="6">
        <f t="shared" si="1"/>
        <v>1</v>
      </c>
      <c r="W62" s="8" t="str">
        <f t="shared" si="2"/>
        <v>19:00</v>
      </c>
      <c r="X62" s="8" t="str">
        <f t="shared" si="3"/>
        <v>22:15</v>
      </c>
      <c r="Y62" s="9">
        <f t="shared" si="4"/>
        <v>0.13541666666666674</v>
      </c>
      <c r="Z62" s="22" t="str">
        <f t="shared" si="6"/>
        <v>2025-01-02 목 (19:00~22:15) : 3시간 15분</v>
      </c>
      <c r="AA62" s="22"/>
      <c r="AB62" s="6" t="str">
        <f ca="1">_xlfn.XLOOKUP(I62, 기초데이터!$C$2:$C$305, 기초데이터!$U$2:$U$305)</f>
        <v>jieunpark@neurophet.com</v>
      </c>
    </row>
    <row r="63" spans="1:28" x14ac:dyDescent="0.3">
      <c r="A63" s="6">
        <f>SUBTOTAL(3,$I$2:I63)*1</f>
        <v>62</v>
      </c>
      <c r="B63" s="21" t="s">
        <v>362</v>
      </c>
      <c r="C63" s="6" t="s">
        <v>363</v>
      </c>
      <c r="D63" s="6">
        <v>1</v>
      </c>
      <c r="E63" s="6" t="s">
        <v>73</v>
      </c>
      <c r="F63" s="6">
        <v>0</v>
      </c>
      <c r="G63" s="6" t="s">
        <v>364</v>
      </c>
      <c r="H63" s="6" t="s">
        <v>30</v>
      </c>
      <c r="I63" s="6" t="s">
        <v>365</v>
      </c>
      <c r="J63" s="6" t="s">
        <v>366</v>
      </c>
      <c r="K63" s="6" t="s">
        <v>33</v>
      </c>
      <c r="L63" s="6" t="s">
        <v>34</v>
      </c>
      <c r="M63" s="6" t="s">
        <v>35</v>
      </c>
      <c r="N63" s="6" t="s">
        <v>367</v>
      </c>
      <c r="O63" s="6" t="s">
        <v>368</v>
      </c>
      <c r="P63" s="6" t="s">
        <v>369</v>
      </c>
      <c r="T63" s="6" t="s">
        <v>370</v>
      </c>
      <c r="U63" s="7">
        <f t="shared" si="0"/>
        <v>45670</v>
      </c>
      <c r="V63" s="6">
        <f t="shared" si="1"/>
        <v>3</v>
      </c>
      <c r="W63" s="8" t="str">
        <f t="shared" si="2"/>
        <v>17:32</v>
      </c>
      <c r="X63" s="8" t="str">
        <f t="shared" si="3"/>
        <v>20:28</v>
      </c>
      <c r="Y63" s="9">
        <f t="shared" si="4"/>
        <v>0.12222222222222223</v>
      </c>
      <c r="Z63" s="22" t="str">
        <f t="shared" si="6"/>
        <v>2025-01-13 월 (17:32~20:28) : 2시간 56분</v>
      </c>
      <c r="AA63" s="22"/>
      <c r="AB63" s="6" t="str">
        <f ca="1">_xlfn.XLOOKUP(I63, 기초데이터!$C$2:$C$305, 기초데이터!$U$2:$U$305)</f>
        <v>noah@neurophet.com</v>
      </c>
    </row>
    <row r="64" spans="1:28" x14ac:dyDescent="0.3">
      <c r="A64" s="6">
        <f>SUBTOTAL(3,$I$2:I64)*1</f>
        <v>63</v>
      </c>
      <c r="B64" s="21" t="s">
        <v>362</v>
      </c>
      <c r="C64" s="6" t="s">
        <v>371</v>
      </c>
      <c r="D64" s="6">
        <v>1</v>
      </c>
      <c r="E64" s="6" t="s">
        <v>303</v>
      </c>
      <c r="F64" s="6">
        <v>0</v>
      </c>
      <c r="G64" s="6" t="s">
        <v>364</v>
      </c>
      <c r="H64" s="6" t="s">
        <v>30</v>
      </c>
      <c r="I64" s="6" t="s">
        <v>365</v>
      </c>
      <c r="J64" s="6" t="s">
        <v>366</v>
      </c>
      <c r="K64" s="6" t="s">
        <v>33</v>
      </c>
      <c r="L64" s="6" t="s">
        <v>34</v>
      </c>
      <c r="M64" s="6" t="s">
        <v>35</v>
      </c>
      <c r="N64" s="6" t="s">
        <v>367</v>
      </c>
      <c r="O64" s="6" t="s">
        <v>368</v>
      </c>
      <c r="P64" s="6" t="s">
        <v>369</v>
      </c>
      <c r="T64" s="6" t="s">
        <v>372</v>
      </c>
      <c r="U64" s="7">
        <f t="shared" si="0"/>
        <v>45672</v>
      </c>
      <c r="V64" s="6">
        <f t="shared" si="1"/>
        <v>3</v>
      </c>
      <c r="W64" s="8" t="str">
        <f t="shared" si="2"/>
        <v>17:34</v>
      </c>
      <c r="X64" s="8" t="str">
        <f t="shared" si="3"/>
        <v>19:39</v>
      </c>
      <c r="Y64" s="9">
        <f t="shared" si="4"/>
        <v>8.680555555555558E-2</v>
      </c>
      <c r="Z64" s="22" t="str">
        <f t="shared" si="6"/>
        <v>2025-01-15 수 (17:34~19:39) : 2시간 5분</v>
      </c>
      <c r="AA64" s="22"/>
      <c r="AB64" s="6" t="str">
        <f ca="1">_xlfn.XLOOKUP(I64, 기초데이터!$C$2:$C$305, 기초데이터!$U$2:$U$305)</f>
        <v>noah@neurophet.com</v>
      </c>
    </row>
    <row r="65" spans="1:28" x14ac:dyDescent="0.3">
      <c r="A65" s="6">
        <f>SUBTOTAL(3,$I$2:I65)*1</f>
        <v>64</v>
      </c>
      <c r="B65" s="21" t="s">
        <v>362</v>
      </c>
      <c r="C65" s="6" t="s">
        <v>373</v>
      </c>
      <c r="D65" s="6">
        <v>1</v>
      </c>
      <c r="E65" s="6" t="s">
        <v>374</v>
      </c>
      <c r="F65" s="6">
        <v>0</v>
      </c>
      <c r="G65" s="6" t="s">
        <v>364</v>
      </c>
      <c r="H65" s="6" t="s">
        <v>30</v>
      </c>
      <c r="I65" s="6" t="s">
        <v>365</v>
      </c>
      <c r="J65" s="6" t="s">
        <v>366</v>
      </c>
      <c r="K65" s="6" t="s">
        <v>33</v>
      </c>
      <c r="L65" s="6" t="s">
        <v>34</v>
      </c>
      <c r="M65" s="6" t="s">
        <v>35</v>
      </c>
      <c r="N65" s="6" t="s">
        <v>367</v>
      </c>
      <c r="O65" s="6" t="s">
        <v>368</v>
      </c>
      <c r="P65" s="6" t="s">
        <v>369</v>
      </c>
      <c r="T65" s="6" t="s">
        <v>372</v>
      </c>
      <c r="U65" s="7">
        <f t="shared" si="0"/>
        <v>45679</v>
      </c>
      <c r="V65" s="6">
        <f t="shared" si="1"/>
        <v>4</v>
      </c>
      <c r="W65" s="8" t="str">
        <f t="shared" si="2"/>
        <v>17:33</v>
      </c>
      <c r="X65" s="8" t="str">
        <f t="shared" si="3"/>
        <v>21:15</v>
      </c>
      <c r="Y65" s="9">
        <f t="shared" si="4"/>
        <v>0.15416666666666667</v>
      </c>
      <c r="Z65" s="22" t="str">
        <f t="shared" si="6"/>
        <v>2025-01-22 수 (17:33~21:15) : 3시간 42분</v>
      </c>
      <c r="AA65" s="22"/>
      <c r="AB65" s="6" t="str">
        <f ca="1">_xlfn.XLOOKUP(I65, 기초데이터!$C$2:$C$305, 기초데이터!$U$2:$U$305)</f>
        <v>noah@neurophet.com</v>
      </c>
    </row>
    <row r="66" spans="1:28" x14ac:dyDescent="0.3">
      <c r="A66" s="6">
        <f>SUBTOTAL(3,$I$2:I66)*1</f>
        <v>65</v>
      </c>
      <c r="B66" s="21" t="s">
        <v>362</v>
      </c>
      <c r="C66" s="6" t="s">
        <v>375</v>
      </c>
      <c r="D66" s="6">
        <v>1</v>
      </c>
      <c r="E66" s="6" t="s">
        <v>77</v>
      </c>
      <c r="F66" s="6">
        <v>0</v>
      </c>
      <c r="G66" s="6" t="s">
        <v>364</v>
      </c>
      <c r="H66" s="6" t="s">
        <v>30</v>
      </c>
      <c r="I66" s="6" t="s">
        <v>365</v>
      </c>
      <c r="J66" s="6" t="s">
        <v>366</v>
      </c>
      <c r="K66" s="6" t="s">
        <v>33</v>
      </c>
      <c r="L66" s="6" t="s">
        <v>34</v>
      </c>
      <c r="M66" s="6" t="s">
        <v>35</v>
      </c>
      <c r="N66" s="6" t="s">
        <v>367</v>
      </c>
      <c r="O66" s="6" t="s">
        <v>368</v>
      </c>
      <c r="P66" s="6" t="s">
        <v>369</v>
      </c>
      <c r="T66" s="6" t="s">
        <v>372</v>
      </c>
      <c r="U66" s="7">
        <f t="shared" ref="U66:U129" si="7">DATEVALUE(LEFT(C66,10))</f>
        <v>45680</v>
      </c>
      <c r="V66" s="6">
        <f t="shared" ref="V66:V129" si="8">WEEKNUM(U66,21)</f>
        <v>4</v>
      </c>
      <c r="W66" s="8" t="str">
        <f t="shared" ref="W66:W129" si="9">MID(C66,12,5)</f>
        <v>17:20</v>
      </c>
      <c r="X66" s="8" t="str">
        <f t="shared" ref="X66:X129" si="10">MID(C66,32,5)</f>
        <v>22:18</v>
      </c>
      <c r="Y66" s="9">
        <f t="shared" ref="Y66:Y129" si="11">X66-W66</f>
        <v>0.20694444444444449</v>
      </c>
      <c r="Z66" s="22" t="str">
        <f t="shared" si="6"/>
        <v>2025-01-23 목 (17:20~22:18) : 4시간 58분</v>
      </c>
      <c r="AA66" s="22"/>
      <c r="AB66" s="6" t="str">
        <f ca="1">_xlfn.XLOOKUP(I66, 기초데이터!$C$2:$C$305, 기초데이터!$U$2:$U$305)</f>
        <v>noah@neurophet.com</v>
      </c>
    </row>
    <row r="67" spans="1:28" x14ac:dyDescent="0.3">
      <c r="A67" s="6">
        <f>SUBTOTAL(3,$I$2:I67)*1</f>
        <v>66</v>
      </c>
      <c r="B67" s="21" t="s">
        <v>362</v>
      </c>
      <c r="C67" s="6" t="s">
        <v>376</v>
      </c>
      <c r="D67" s="6">
        <v>1</v>
      </c>
      <c r="E67" s="6" t="s">
        <v>70</v>
      </c>
      <c r="F67" s="6">
        <v>0</v>
      </c>
      <c r="G67" s="6" t="s">
        <v>364</v>
      </c>
      <c r="H67" s="6" t="s">
        <v>30</v>
      </c>
      <c r="I67" s="6" t="s">
        <v>365</v>
      </c>
      <c r="J67" s="6" t="s">
        <v>366</v>
      </c>
      <c r="K67" s="6" t="s">
        <v>33</v>
      </c>
      <c r="L67" s="6" t="s">
        <v>34</v>
      </c>
      <c r="M67" s="6" t="s">
        <v>35</v>
      </c>
      <c r="N67" s="6" t="s">
        <v>377</v>
      </c>
      <c r="O67" s="6" t="s">
        <v>378</v>
      </c>
      <c r="P67" s="6" t="s">
        <v>379</v>
      </c>
      <c r="T67" s="6" t="s">
        <v>380</v>
      </c>
      <c r="U67" s="7">
        <f t="shared" si="7"/>
        <v>45681</v>
      </c>
      <c r="V67" s="6">
        <f t="shared" si="8"/>
        <v>4</v>
      </c>
      <c r="W67" s="8" t="str">
        <f t="shared" si="9"/>
        <v>12:24</v>
      </c>
      <c r="X67" s="8" t="str">
        <f t="shared" si="10"/>
        <v>15:38</v>
      </c>
      <c r="Y67" s="9">
        <f t="shared" si="11"/>
        <v>0.13472222222222219</v>
      </c>
      <c r="Z67" s="22" t="str">
        <f t="shared" ref="Z67:Z130" si="12">TEXT(U67, "YYYY-MM-DD aaa")&amp;" ("&amp;TEXT(W67, "hh:mm")&amp;"~"&amp;TEXT(X67, "hh:mm")&amp;") : "&amp;IF(MINUTE(Y67)=0, TEXT(Y67, "h시간"), TEXT(Y67, "h시간 m분"))</f>
        <v>2025-01-24 금 (12:24~15:38) : 3시간 14분</v>
      </c>
      <c r="AA67" s="22"/>
      <c r="AB67" s="6" t="str">
        <f ca="1">_xlfn.XLOOKUP(I67, 기초데이터!$C$2:$C$305, 기초데이터!$U$2:$U$305)</f>
        <v>noah@neurophet.com</v>
      </c>
    </row>
    <row r="68" spans="1:28" x14ac:dyDescent="0.3">
      <c r="A68" s="6">
        <f>SUBTOTAL(3,$I$2:I68)*1</f>
        <v>67</v>
      </c>
      <c r="B68" s="21" t="s">
        <v>362</v>
      </c>
      <c r="C68" s="6" t="s">
        <v>381</v>
      </c>
      <c r="D68" s="6">
        <v>1</v>
      </c>
      <c r="E68" s="6" t="s">
        <v>93</v>
      </c>
      <c r="F68" s="6">
        <v>0</v>
      </c>
      <c r="G68" s="6" t="s">
        <v>364</v>
      </c>
      <c r="H68" s="6" t="s">
        <v>30</v>
      </c>
      <c r="I68" s="6" t="s">
        <v>365</v>
      </c>
      <c r="J68" s="6" t="s">
        <v>366</v>
      </c>
      <c r="K68" s="6" t="s">
        <v>33</v>
      </c>
      <c r="L68" s="6" t="s">
        <v>34</v>
      </c>
      <c r="M68" s="6" t="s">
        <v>35</v>
      </c>
      <c r="N68" s="6" t="s">
        <v>377</v>
      </c>
      <c r="O68" s="6" t="s">
        <v>378</v>
      </c>
      <c r="P68" s="6" t="s">
        <v>379</v>
      </c>
      <c r="T68" s="6" t="s">
        <v>380</v>
      </c>
      <c r="U68" s="7">
        <f t="shared" si="7"/>
        <v>45688</v>
      </c>
      <c r="V68" s="6">
        <f t="shared" si="8"/>
        <v>5</v>
      </c>
      <c r="W68" s="8" t="str">
        <f t="shared" si="9"/>
        <v>17:28</v>
      </c>
      <c r="X68" s="8" t="str">
        <f t="shared" si="10"/>
        <v>20:34</v>
      </c>
      <c r="Y68" s="9">
        <f t="shared" si="11"/>
        <v>0.12916666666666665</v>
      </c>
      <c r="Z68" s="22" t="str">
        <f t="shared" si="12"/>
        <v>2025-01-31 금 (17:28~20:34) : 3시간 6분</v>
      </c>
      <c r="AA68" s="22"/>
      <c r="AB68" s="6" t="str">
        <f ca="1">_xlfn.XLOOKUP(I68, 기초데이터!$C$2:$C$305, 기초데이터!$U$2:$U$305)</f>
        <v>noah@neurophet.com</v>
      </c>
    </row>
    <row r="69" spans="1:28" x14ac:dyDescent="0.3">
      <c r="A69" s="6">
        <f>SUBTOTAL(3,$I$2:I69)*1</f>
        <v>68</v>
      </c>
      <c r="B69" s="21" t="s">
        <v>362</v>
      </c>
      <c r="C69" s="6" t="s">
        <v>382</v>
      </c>
      <c r="D69" s="6">
        <v>1</v>
      </c>
      <c r="E69" s="6" t="s">
        <v>41</v>
      </c>
      <c r="F69" s="6">
        <v>0</v>
      </c>
      <c r="G69" s="6" t="s">
        <v>383</v>
      </c>
      <c r="H69" s="6" t="s">
        <v>56</v>
      </c>
      <c r="I69" s="6" t="s">
        <v>384</v>
      </c>
      <c r="J69" s="6" t="s">
        <v>385</v>
      </c>
      <c r="K69" s="6" t="s">
        <v>33</v>
      </c>
      <c r="L69" s="6" t="s">
        <v>34</v>
      </c>
      <c r="M69" s="6" t="s">
        <v>35</v>
      </c>
      <c r="N69" s="6" t="s">
        <v>386</v>
      </c>
      <c r="O69" s="6" t="s">
        <v>387</v>
      </c>
      <c r="P69" s="6" t="s">
        <v>388</v>
      </c>
      <c r="T69" s="6" t="s">
        <v>389</v>
      </c>
      <c r="U69" s="7">
        <f t="shared" si="7"/>
        <v>45689</v>
      </c>
      <c r="V69" s="6">
        <f t="shared" si="8"/>
        <v>5</v>
      </c>
      <c r="W69" s="8" t="str">
        <f t="shared" si="9"/>
        <v>16:30</v>
      </c>
      <c r="X69" s="8" t="str">
        <f t="shared" si="10"/>
        <v>18:47</v>
      </c>
      <c r="Y69" s="9">
        <f t="shared" si="11"/>
        <v>9.5138888888888884E-2</v>
      </c>
      <c r="Z69" s="22" t="str">
        <f t="shared" si="12"/>
        <v>2025-02-01 토 (16:30~18:47) : 2시간 17분</v>
      </c>
      <c r="AA69" s="22"/>
      <c r="AB69" s="6" t="str">
        <f ca="1">_xlfn.XLOOKUP(I69, 기초데이터!$C$2:$C$305, 기초데이터!$U$2:$U$305)</f>
        <v>jylee@neurophet.com</v>
      </c>
    </row>
    <row r="70" spans="1:28" x14ac:dyDescent="0.3">
      <c r="A70" s="6">
        <f>SUBTOTAL(3,$I$2:I70)*1</f>
        <v>69</v>
      </c>
      <c r="B70" s="21" t="s">
        <v>362</v>
      </c>
      <c r="C70" s="6" t="s">
        <v>390</v>
      </c>
      <c r="D70" s="6">
        <v>1</v>
      </c>
      <c r="E70" s="6" t="s">
        <v>101</v>
      </c>
      <c r="F70" s="6">
        <v>0</v>
      </c>
      <c r="G70" s="6" t="s">
        <v>29</v>
      </c>
      <c r="H70" s="6" t="s">
        <v>30</v>
      </c>
      <c r="I70" s="6" t="s">
        <v>64</v>
      </c>
      <c r="J70" s="6" t="s">
        <v>65</v>
      </c>
      <c r="K70" s="6" t="s">
        <v>33</v>
      </c>
      <c r="L70" s="6" t="s">
        <v>34</v>
      </c>
      <c r="M70" s="6" t="s">
        <v>35</v>
      </c>
      <c r="N70" s="6" t="s">
        <v>45</v>
      </c>
      <c r="O70" s="6" t="s">
        <v>66</v>
      </c>
      <c r="P70" s="6" t="s">
        <v>67</v>
      </c>
      <c r="T70" s="6" t="s">
        <v>391</v>
      </c>
      <c r="U70" s="7">
        <f t="shared" si="7"/>
        <v>45689</v>
      </c>
      <c r="V70" s="6">
        <f t="shared" si="8"/>
        <v>5</v>
      </c>
      <c r="W70" s="8" t="str">
        <f t="shared" si="9"/>
        <v>17:20</v>
      </c>
      <c r="X70" s="8" t="str">
        <f t="shared" si="10"/>
        <v>20:05</v>
      </c>
      <c r="Y70" s="9">
        <f t="shared" si="11"/>
        <v>0.11458333333333337</v>
      </c>
      <c r="Z70" s="22" t="str">
        <f t="shared" si="12"/>
        <v>2025-02-01 토 (17:20~20:05) : 2시간 45분</v>
      </c>
      <c r="AA70" s="22"/>
      <c r="AB70" s="6" t="str">
        <f ca="1">_xlfn.XLOOKUP(I70, 기초데이터!$C$2:$C$305, 기초데이터!$U$2:$U$305)</f>
        <v>doyeon@neurophet.com</v>
      </c>
    </row>
    <row r="71" spans="1:28" x14ac:dyDescent="0.3">
      <c r="A71" s="6">
        <f>SUBTOTAL(3,$I$2:I71)*1</f>
        <v>70</v>
      </c>
      <c r="B71" s="21" t="s">
        <v>362</v>
      </c>
      <c r="C71" s="6" t="s">
        <v>392</v>
      </c>
      <c r="D71" s="6">
        <v>1</v>
      </c>
      <c r="E71" s="6" t="s">
        <v>393</v>
      </c>
      <c r="F71" s="6">
        <v>0</v>
      </c>
      <c r="G71" s="6" t="s">
        <v>111</v>
      </c>
      <c r="H71" s="6" t="s">
        <v>30</v>
      </c>
      <c r="I71" s="6" t="s">
        <v>112</v>
      </c>
      <c r="J71" s="6" t="s">
        <v>113</v>
      </c>
      <c r="K71" s="6" t="s">
        <v>33</v>
      </c>
      <c r="L71" s="6" t="s">
        <v>34</v>
      </c>
      <c r="M71" s="6" t="s">
        <v>35</v>
      </c>
      <c r="N71" s="6" t="s">
        <v>394</v>
      </c>
      <c r="O71" s="6" t="s">
        <v>395</v>
      </c>
      <c r="P71" s="6" t="s">
        <v>396</v>
      </c>
      <c r="T71" s="6" t="s">
        <v>397</v>
      </c>
      <c r="U71" s="7">
        <f t="shared" si="7"/>
        <v>45691</v>
      </c>
      <c r="V71" s="6">
        <f t="shared" si="8"/>
        <v>6</v>
      </c>
      <c r="W71" s="8" t="str">
        <f t="shared" si="9"/>
        <v>16:00</v>
      </c>
      <c r="X71" s="8" t="str">
        <f t="shared" si="10"/>
        <v>18:38</v>
      </c>
      <c r="Y71" s="9">
        <f t="shared" si="11"/>
        <v>0.10972222222222228</v>
      </c>
      <c r="Z71" s="22" t="str">
        <f t="shared" si="12"/>
        <v>2025-02-03 월 (16:00~18:38) : 2시간 38분</v>
      </c>
      <c r="AA71" s="22"/>
      <c r="AB71" s="6" t="str">
        <f ca="1">_xlfn.XLOOKUP(I71, 기초데이터!$C$2:$C$305, 기초데이터!$U$2:$U$305)</f>
        <v>mshyun@neurophet.com</v>
      </c>
    </row>
    <row r="72" spans="1:28" x14ac:dyDescent="0.3">
      <c r="A72" s="6">
        <f>SUBTOTAL(3,$I$2:I72)*1</f>
        <v>71</v>
      </c>
      <c r="B72" s="21" t="s">
        <v>362</v>
      </c>
      <c r="C72" s="6" t="s">
        <v>398</v>
      </c>
      <c r="D72" s="6">
        <v>1</v>
      </c>
      <c r="E72" s="6" t="s">
        <v>128</v>
      </c>
      <c r="F72" s="6">
        <v>0</v>
      </c>
      <c r="G72" s="6" t="s">
        <v>399</v>
      </c>
      <c r="H72" s="6" t="s">
        <v>30</v>
      </c>
      <c r="I72" s="6" t="s">
        <v>400</v>
      </c>
      <c r="J72" s="6" t="s">
        <v>401</v>
      </c>
      <c r="K72" s="6" t="s">
        <v>33</v>
      </c>
      <c r="L72" s="6" t="s">
        <v>34</v>
      </c>
      <c r="M72" s="6" t="s">
        <v>35</v>
      </c>
      <c r="N72" s="6" t="s">
        <v>45</v>
      </c>
      <c r="O72" s="6" t="s">
        <v>402</v>
      </c>
      <c r="P72" s="6" t="s">
        <v>403</v>
      </c>
      <c r="T72" s="6" t="s">
        <v>404</v>
      </c>
      <c r="U72" s="7">
        <f t="shared" si="7"/>
        <v>45691</v>
      </c>
      <c r="V72" s="6">
        <f t="shared" si="8"/>
        <v>6</v>
      </c>
      <c r="W72" s="8" t="str">
        <f t="shared" si="9"/>
        <v>16:13</v>
      </c>
      <c r="X72" s="8" t="str">
        <f t="shared" si="10"/>
        <v>18:13</v>
      </c>
      <c r="Y72" s="9">
        <f t="shared" si="11"/>
        <v>8.3333333333333259E-2</v>
      </c>
      <c r="Z72" s="22" t="str">
        <f t="shared" si="12"/>
        <v>2025-02-03 월 (16:13~18:13) : 2시간</v>
      </c>
      <c r="AA72" s="22"/>
      <c r="AB72" s="6" t="str">
        <f ca="1">_xlfn.XLOOKUP(I72, 기초데이터!$C$2:$C$305, 기초데이터!$U$2:$U$305)</f>
        <v>lsr@neurophet.com</v>
      </c>
    </row>
    <row r="73" spans="1:28" x14ac:dyDescent="0.3">
      <c r="A73" s="6">
        <f>SUBTOTAL(3,$I$2:I73)*1</f>
        <v>72</v>
      </c>
      <c r="B73" s="21" t="s">
        <v>362</v>
      </c>
      <c r="C73" s="6" t="s">
        <v>405</v>
      </c>
      <c r="D73" s="6">
        <v>1</v>
      </c>
      <c r="E73" s="6" t="s">
        <v>303</v>
      </c>
      <c r="F73" s="6">
        <v>0</v>
      </c>
      <c r="G73" s="6" t="s">
        <v>406</v>
      </c>
      <c r="H73" s="6" t="s">
        <v>30</v>
      </c>
      <c r="I73" s="6" t="s">
        <v>407</v>
      </c>
      <c r="J73" s="6" t="s">
        <v>408</v>
      </c>
      <c r="K73" s="6" t="s">
        <v>33</v>
      </c>
      <c r="L73" s="6" t="s">
        <v>34</v>
      </c>
      <c r="M73" s="6" t="s">
        <v>35</v>
      </c>
      <c r="N73" s="6" t="s">
        <v>394</v>
      </c>
      <c r="O73" s="6" t="s">
        <v>409</v>
      </c>
      <c r="P73" s="6" t="s">
        <v>410</v>
      </c>
      <c r="T73" s="6" t="s">
        <v>411</v>
      </c>
      <c r="U73" s="7">
        <f t="shared" si="7"/>
        <v>45691</v>
      </c>
      <c r="V73" s="6">
        <f t="shared" si="8"/>
        <v>6</v>
      </c>
      <c r="W73" s="8" t="str">
        <f t="shared" si="9"/>
        <v>16:34</v>
      </c>
      <c r="X73" s="8" t="str">
        <f t="shared" si="10"/>
        <v>18:38</v>
      </c>
      <c r="Y73" s="9">
        <f t="shared" si="11"/>
        <v>8.6111111111111138E-2</v>
      </c>
      <c r="Z73" s="22" t="str">
        <f t="shared" si="12"/>
        <v>2025-02-03 월 (16:34~18:38) : 2시간 4분</v>
      </c>
      <c r="AA73" s="22"/>
      <c r="AB73" s="6" t="str">
        <f ca="1">_xlfn.XLOOKUP(I73, 기초데이터!$C$2:$C$305, 기초데이터!$U$2:$U$305)</f>
        <v>brhan@neurophet.com</v>
      </c>
    </row>
    <row r="74" spans="1:28" x14ac:dyDescent="0.3">
      <c r="A74" s="6">
        <f>SUBTOTAL(3,$I$2:I74)*1</f>
        <v>73</v>
      </c>
      <c r="B74" s="21" t="s">
        <v>362</v>
      </c>
      <c r="C74" s="6" t="s">
        <v>412</v>
      </c>
      <c r="D74" s="6">
        <v>1</v>
      </c>
      <c r="E74" s="6" t="s">
        <v>413</v>
      </c>
      <c r="F74" s="6">
        <v>0</v>
      </c>
      <c r="G74" s="6" t="s">
        <v>290</v>
      </c>
      <c r="H74" s="6" t="s">
        <v>56</v>
      </c>
      <c r="I74" s="6" t="s">
        <v>414</v>
      </c>
      <c r="J74" s="6" t="s">
        <v>415</v>
      </c>
      <c r="K74" s="6" t="s">
        <v>33</v>
      </c>
      <c r="L74" s="6" t="s">
        <v>34</v>
      </c>
      <c r="M74" s="6" t="s">
        <v>35</v>
      </c>
      <c r="N74" s="6" t="s">
        <v>83</v>
      </c>
      <c r="O74" s="6" t="s">
        <v>416</v>
      </c>
      <c r="P74" s="6" t="s">
        <v>417</v>
      </c>
      <c r="T74" s="6" t="s">
        <v>418</v>
      </c>
      <c r="U74" s="7">
        <f t="shared" si="7"/>
        <v>45691</v>
      </c>
      <c r="V74" s="6">
        <f t="shared" si="8"/>
        <v>6</v>
      </c>
      <c r="W74" s="8" t="str">
        <f t="shared" si="9"/>
        <v>17:06</v>
      </c>
      <c r="X74" s="8" t="str">
        <f t="shared" si="10"/>
        <v>21:36</v>
      </c>
      <c r="Y74" s="9">
        <f t="shared" si="11"/>
        <v>0.1875</v>
      </c>
      <c r="Z74" s="22" t="str">
        <f t="shared" si="12"/>
        <v>2025-02-03 월 (17:06~21:36) : 4시간 30분</v>
      </c>
      <c r="AA74" s="22"/>
      <c r="AB74" s="6" t="str">
        <f ca="1">_xlfn.XLOOKUP(I74, 기초데이터!$C$2:$C$305, 기초데이터!$U$2:$U$305)</f>
        <v>yi.seo@neurophet.com</v>
      </c>
    </row>
    <row r="75" spans="1:28" x14ac:dyDescent="0.3">
      <c r="A75" s="6">
        <f>SUBTOTAL(3,$I$2:I75)*1</f>
        <v>74</v>
      </c>
      <c r="B75" s="21" t="s">
        <v>362</v>
      </c>
      <c r="C75" s="6" t="s">
        <v>419</v>
      </c>
      <c r="D75" s="6">
        <v>1</v>
      </c>
      <c r="E75" s="6" t="s">
        <v>55</v>
      </c>
      <c r="F75" s="6">
        <v>0</v>
      </c>
      <c r="G75" s="6" t="s">
        <v>399</v>
      </c>
      <c r="H75" s="6" t="s">
        <v>56</v>
      </c>
      <c r="I75" s="6" t="s">
        <v>420</v>
      </c>
      <c r="J75" s="6" t="s">
        <v>421</v>
      </c>
      <c r="K75" s="6" t="s">
        <v>33</v>
      </c>
      <c r="L75" s="6" t="s">
        <v>34</v>
      </c>
      <c r="M75" s="6" t="s">
        <v>35</v>
      </c>
      <c r="N75" s="6" t="s">
        <v>83</v>
      </c>
      <c r="O75" s="6" t="s">
        <v>422</v>
      </c>
      <c r="P75" s="6" t="s">
        <v>423</v>
      </c>
      <c r="T75" s="6" t="s">
        <v>424</v>
      </c>
      <c r="U75" s="7">
        <f t="shared" si="7"/>
        <v>45691</v>
      </c>
      <c r="V75" s="6">
        <f t="shared" si="8"/>
        <v>6</v>
      </c>
      <c r="W75" s="8" t="str">
        <f t="shared" si="9"/>
        <v>18:15</v>
      </c>
      <c r="X75" s="8" t="str">
        <f t="shared" si="10"/>
        <v>20:45</v>
      </c>
      <c r="Y75" s="9">
        <f t="shared" si="11"/>
        <v>0.10416666666666674</v>
      </c>
      <c r="Z75" s="22" t="str">
        <f t="shared" si="12"/>
        <v>2025-02-03 월 (18:15~20:45) : 2시간 30분</v>
      </c>
      <c r="AA75" s="22"/>
      <c r="AB75" s="6" t="str">
        <f ca="1">_xlfn.XLOOKUP(I75, 기초데이터!$C$2:$C$305, 기초데이터!$U$2:$U$305)</f>
        <v>manjae.jeon@neurophet.com</v>
      </c>
    </row>
    <row r="76" spans="1:28" x14ac:dyDescent="0.3">
      <c r="A76" s="6">
        <f>SUBTOTAL(3,$I$2:I76)*1</f>
        <v>75</v>
      </c>
      <c r="B76" s="21" t="s">
        <v>362</v>
      </c>
      <c r="C76" s="6" t="s">
        <v>425</v>
      </c>
      <c r="D76" s="6">
        <v>1</v>
      </c>
      <c r="E76" s="6" t="s">
        <v>53</v>
      </c>
      <c r="F76" s="6">
        <v>0</v>
      </c>
      <c r="G76" s="6" t="s">
        <v>399</v>
      </c>
      <c r="H76" s="6" t="s">
        <v>30</v>
      </c>
      <c r="I76" s="6" t="s">
        <v>400</v>
      </c>
      <c r="J76" s="6" t="s">
        <v>401</v>
      </c>
      <c r="K76" s="6" t="s">
        <v>33</v>
      </c>
      <c r="L76" s="6" t="s">
        <v>34</v>
      </c>
      <c r="M76" s="6" t="s">
        <v>35</v>
      </c>
      <c r="N76" s="6" t="s">
        <v>426</v>
      </c>
      <c r="O76" s="6" t="s">
        <v>427</v>
      </c>
      <c r="P76" s="6" t="s">
        <v>428</v>
      </c>
      <c r="T76" s="6" t="s">
        <v>429</v>
      </c>
      <c r="U76" s="7">
        <f t="shared" si="7"/>
        <v>45692</v>
      </c>
      <c r="V76" s="6">
        <f t="shared" si="8"/>
        <v>6</v>
      </c>
      <c r="W76" s="8" t="str">
        <f t="shared" si="9"/>
        <v>17:00</v>
      </c>
      <c r="X76" s="8" t="str">
        <f t="shared" si="10"/>
        <v>21:00</v>
      </c>
      <c r="Y76" s="9">
        <f t="shared" si="11"/>
        <v>0.16666666666666663</v>
      </c>
      <c r="Z76" s="22" t="str">
        <f t="shared" si="12"/>
        <v>2025-02-04 화 (17:00~21:00) : 4시간</v>
      </c>
      <c r="AA76" s="22"/>
      <c r="AB76" s="6" t="str">
        <f ca="1">_xlfn.XLOOKUP(I76, 기초데이터!$C$2:$C$305, 기초데이터!$U$2:$U$305)</f>
        <v>lsr@neurophet.com</v>
      </c>
    </row>
    <row r="77" spans="1:28" x14ac:dyDescent="0.3">
      <c r="A77" s="6">
        <f>SUBTOTAL(3,$I$2:I77)*1</f>
        <v>76</v>
      </c>
      <c r="B77" s="21" t="s">
        <v>362</v>
      </c>
      <c r="C77" s="6" t="s">
        <v>430</v>
      </c>
      <c r="D77" s="6">
        <v>1</v>
      </c>
      <c r="E77" s="6" t="s">
        <v>128</v>
      </c>
      <c r="F77" s="6">
        <v>0</v>
      </c>
      <c r="G77" s="6" t="s">
        <v>399</v>
      </c>
      <c r="H77" s="6" t="s">
        <v>56</v>
      </c>
      <c r="I77" s="6" t="s">
        <v>420</v>
      </c>
      <c r="J77" s="6" t="s">
        <v>421</v>
      </c>
      <c r="K77" s="6" t="s">
        <v>33</v>
      </c>
      <c r="L77" s="6" t="s">
        <v>34</v>
      </c>
      <c r="M77" s="6" t="s">
        <v>35</v>
      </c>
      <c r="N77" s="6" t="s">
        <v>83</v>
      </c>
      <c r="O77" s="6" t="s">
        <v>431</v>
      </c>
      <c r="P77" s="6" t="s">
        <v>432</v>
      </c>
      <c r="T77" s="6" t="s">
        <v>424</v>
      </c>
      <c r="U77" s="7">
        <f t="shared" si="7"/>
        <v>45692</v>
      </c>
      <c r="V77" s="6">
        <f t="shared" si="8"/>
        <v>6</v>
      </c>
      <c r="W77" s="8" t="str">
        <f t="shared" si="9"/>
        <v>17:16</v>
      </c>
      <c r="X77" s="8" t="str">
        <f t="shared" si="10"/>
        <v>19:16</v>
      </c>
      <c r="Y77" s="9">
        <f t="shared" si="11"/>
        <v>8.333333333333337E-2</v>
      </c>
      <c r="Z77" s="22" t="str">
        <f t="shared" si="12"/>
        <v>2025-02-04 화 (17:16~19:16) : 2시간</v>
      </c>
      <c r="AA77" s="22"/>
      <c r="AB77" s="6" t="str">
        <f ca="1">_xlfn.XLOOKUP(I77, 기초데이터!$C$2:$C$305, 기초데이터!$U$2:$U$305)</f>
        <v>manjae.jeon@neurophet.com</v>
      </c>
    </row>
    <row r="78" spans="1:28" x14ac:dyDescent="0.3">
      <c r="A78" s="6">
        <f>SUBTOTAL(3,$I$2:I78)*1</f>
        <v>77</v>
      </c>
      <c r="B78" s="21" t="s">
        <v>362</v>
      </c>
      <c r="C78" s="6" t="s">
        <v>433</v>
      </c>
      <c r="D78" s="6">
        <v>1</v>
      </c>
      <c r="E78" s="6" t="s">
        <v>128</v>
      </c>
      <c r="F78" s="6">
        <v>0</v>
      </c>
      <c r="G78" s="6" t="s">
        <v>131</v>
      </c>
      <c r="H78" s="6" t="s">
        <v>56</v>
      </c>
      <c r="I78" s="6" t="s">
        <v>132</v>
      </c>
      <c r="J78" s="6" t="s">
        <v>133</v>
      </c>
      <c r="K78" s="6" t="s">
        <v>33</v>
      </c>
      <c r="L78" s="6" t="s">
        <v>34</v>
      </c>
      <c r="M78" s="6" t="s">
        <v>35</v>
      </c>
      <c r="N78" s="6" t="s">
        <v>83</v>
      </c>
      <c r="O78" s="6" t="s">
        <v>434</v>
      </c>
      <c r="P78" s="6" t="s">
        <v>435</v>
      </c>
      <c r="T78" s="6" t="s">
        <v>436</v>
      </c>
      <c r="U78" s="7">
        <f t="shared" si="7"/>
        <v>45692</v>
      </c>
      <c r="V78" s="6">
        <f t="shared" si="8"/>
        <v>6</v>
      </c>
      <c r="W78" s="8" t="str">
        <f t="shared" si="9"/>
        <v>17:30</v>
      </c>
      <c r="X78" s="8" t="str">
        <f t="shared" si="10"/>
        <v>19:30</v>
      </c>
      <c r="Y78" s="9">
        <f t="shared" si="11"/>
        <v>8.333333333333337E-2</v>
      </c>
      <c r="Z78" s="22" t="str">
        <f t="shared" si="12"/>
        <v>2025-02-04 화 (17:30~19:30) : 2시간</v>
      </c>
      <c r="AA78" s="22"/>
      <c r="AB78" s="6" t="str">
        <f ca="1">_xlfn.XLOOKUP(I78, 기초데이터!$C$2:$C$305, 기초데이터!$U$2:$U$305)</f>
        <v>kelly.seo@neurophet.com</v>
      </c>
    </row>
    <row r="79" spans="1:28" x14ac:dyDescent="0.3">
      <c r="A79" s="6">
        <f>SUBTOTAL(3,$I$2:I79)*1</f>
        <v>78</v>
      </c>
      <c r="B79" s="21" t="s">
        <v>362</v>
      </c>
      <c r="C79" s="6" t="s">
        <v>437</v>
      </c>
      <c r="D79" s="6">
        <v>1</v>
      </c>
      <c r="E79" s="6" t="s">
        <v>237</v>
      </c>
      <c r="F79" s="6">
        <v>0</v>
      </c>
      <c r="G79" s="6" t="s">
        <v>167</v>
      </c>
      <c r="H79" s="6" t="s">
        <v>30</v>
      </c>
      <c r="I79" s="6" t="s">
        <v>219</v>
      </c>
      <c r="J79" s="6" t="s">
        <v>220</v>
      </c>
      <c r="K79" s="6" t="s">
        <v>33</v>
      </c>
      <c r="L79" s="6" t="s">
        <v>34</v>
      </c>
      <c r="M79" s="6" t="s">
        <v>35</v>
      </c>
      <c r="N79" s="6" t="s">
        <v>438</v>
      </c>
      <c r="O79" s="6" t="s">
        <v>439</v>
      </c>
      <c r="P79" s="6" t="s">
        <v>440</v>
      </c>
      <c r="T79" s="6" t="s">
        <v>441</v>
      </c>
      <c r="U79" s="7">
        <f t="shared" si="7"/>
        <v>45692</v>
      </c>
      <c r="V79" s="6">
        <f t="shared" si="8"/>
        <v>6</v>
      </c>
      <c r="W79" s="8" t="str">
        <f t="shared" si="9"/>
        <v>17:35</v>
      </c>
      <c r="X79" s="8" t="str">
        <f t="shared" si="10"/>
        <v>19:45</v>
      </c>
      <c r="Y79" s="9">
        <f t="shared" si="11"/>
        <v>9.027777777777779E-2</v>
      </c>
      <c r="Z79" s="22" t="str">
        <f t="shared" si="12"/>
        <v>2025-02-04 화 (17:35~19:45) : 2시간 10분</v>
      </c>
      <c r="AA79" s="22"/>
      <c r="AB79" s="6" t="str">
        <f ca="1">_xlfn.XLOOKUP(I79, 기초데이터!$C$2:$C$305, 기초데이터!$U$2:$U$305)</f>
        <v>youngji.song@neurophet.com</v>
      </c>
    </row>
    <row r="80" spans="1:28" x14ac:dyDescent="0.3">
      <c r="A80" s="6">
        <f>SUBTOTAL(3,$I$2:I80)*1</f>
        <v>79</v>
      </c>
      <c r="B80" s="21" t="s">
        <v>362</v>
      </c>
      <c r="C80" s="6" t="s">
        <v>442</v>
      </c>
      <c r="D80" s="6">
        <v>1</v>
      </c>
      <c r="E80" s="6" t="s">
        <v>443</v>
      </c>
      <c r="F80" s="6">
        <v>0</v>
      </c>
      <c r="G80" s="6" t="s">
        <v>364</v>
      </c>
      <c r="H80" s="6" t="s">
        <v>30</v>
      </c>
      <c r="I80" s="6" t="s">
        <v>365</v>
      </c>
      <c r="J80" s="6" t="s">
        <v>366</v>
      </c>
      <c r="K80" s="6" t="s">
        <v>33</v>
      </c>
      <c r="L80" s="6" t="s">
        <v>34</v>
      </c>
      <c r="M80" s="6" t="s">
        <v>35</v>
      </c>
      <c r="N80" s="6" t="s">
        <v>377</v>
      </c>
      <c r="O80" s="6" t="s">
        <v>378</v>
      </c>
      <c r="P80" s="6" t="s">
        <v>379</v>
      </c>
      <c r="T80" s="6" t="s">
        <v>380</v>
      </c>
      <c r="U80" s="7">
        <f t="shared" si="7"/>
        <v>45692</v>
      </c>
      <c r="V80" s="6">
        <f t="shared" si="8"/>
        <v>6</v>
      </c>
      <c r="W80" s="8" t="str">
        <f t="shared" si="9"/>
        <v>17:41</v>
      </c>
      <c r="X80" s="8" t="str">
        <f t="shared" si="10"/>
        <v>19:29</v>
      </c>
      <c r="Y80" s="9">
        <f t="shared" si="11"/>
        <v>7.4999999999999956E-2</v>
      </c>
      <c r="Z80" s="22" t="str">
        <f t="shared" si="12"/>
        <v>2025-02-04 화 (17:41~19:29) : 1시간 48분</v>
      </c>
      <c r="AA80" s="22"/>
      <c r="AB80" s="6" t="str">
        <f ca="1">_xlfn.XLOOKUP(I80, 기초데이터!$C$2:$C$305, 기초데이터!$U$2:$U$305)</f>
        <v>noah@neurophet.com</v>
      </c>
    </row>
    <row r="81" spans="1:28" x14ac:dyDescent="0.3">
      <c r="A81" s="6">
        <f>SUBTOTAL(3,$I$2:I81)*1</f>
        <v>80</v>
      </c>
      <c r="B81" s="21" t="s">
        <v>362</v>
      </c>
      <c r="C81" s="6" t="s">
        <v>444</v>
      </c>
      <c r="D81" s="6">
        <v>1</v>
      </c>
      <c r="E81" s="6" t="s">
        <v>393</v>
      </c>
      <c r="F81" s="6">
        <v>0</v>
      </c>
      <c r="G81" s="6" t="s">
        <v>42</v>
      </c>
      <c r="H81" s="6" t="s">
        <v>56</v>
      </c>
      <c r="I81" s="6" t="s">
        <v>94</v>
      </c>
      <c r="J81" s="6" t="s">
        <v>95</v>
      </c>
      <c r="K81" s="6" t="s">
        <v>33</v>
      </c>
      <c r="L81" s="6" t="s">
        <v>34</v>
      </c>
      <c r="M81" s="6" t="s">
        <v>35</v>
      </c>
      <c r="N81" s="6" t="s">
        <v>445</v>
      </c>
      <c r="O81" s="6" t="s">
        <v>446</v>
      </c>
      <c r="P81" s="6" t="s">
        <v>447</v>
      </c>
      <c r="T81" s="6" t="s">
        <v>448</v>
      </c>
      <c r="U81" s="7">
        <f t="shared" si="7"/>
        <v>45692</v>
      </c>
      <c r="V81" s="6">
        <f t="shared" si="8"/>
        <v>6</v>
      </c>
      <c r="W81" s="8" t="str">
        <f t="shared" si="9"/>
        <v>20:28</v>
      </c>
      <c r="X81" s="8" t="str">
        <f t="shared" si="10"/>
        <v>23:04</v>
      </c>
      <c r="Y81" s="9">
        <f t="shared" si="11"/>
        <v>0.10833333333333339</v>
      </c>
      <c r="Z81" s="22" t="str">
        <f t="shared" si="12"/>
        <v>2025-02-04 화 (20:28~23:04) : 2시간 36분</v>
      </c>
      <c r="AA81" s="22"/>
      <c r="AB81" s="6" t="str">
        <f ca="1">_xlfn.XLOOKUP(I81, 기초데이터!$C$2:$C$305, 기초데이터!$U$2:$U$305)</f>
        <v>clarence@neurophet.com</v>
      </c>
    </row>
    <row r="82" spans="1:28" x14ac:dyDescent="0.3">
      <c r="A82" s="6">
        <f>SUBTOTAL(3,$I$2:I82)*1</f>
        <v>81</v>
      </c>
      <c r="B82" s="21" t="s">
        <v>362</v>
      </c>
      <c r="C82" s="6" t="s">
        <v>449</v>
      </c>
      <c r="D82" s="6">
        <v>1</v>
      </c>
      <c r="E82" s="6" t="s">
        <v>128</v>
      </c>
      <c r="F82" s="6">
        <v>0</v>
      </c>
      <c r="G82" s="6" t="s">
        <v>119</v>
      </c>
      <c r="H82" s="6" t="s">
        <v>30</v>
      </c>
      <c r="I82" s="6" t="s">
        <v>120</v>
      </c>
      <c r="J82" s="6" t="s">
        <v>121</v>
      </c>
      <c r="K82" s="6" t="s">
        <v>33</v>
      </c>
      <c r="L82" s="6" t="s">
        <v>34</v>
      </c>
      <c r="M82" s="6" t="s">
        <v>35</v>
      </c>
      <c r="N82" s="6" t="s">
        <v>450</v>
      </c>
      <c r="O82" s="6" t="s">
        <v>451</v>
      </c>
      <c r="P82" s="6" t="s">
        <v>452</v>
      </c>
      <c r="T82" s="6" t="s">
        <v>453</v>
      </c>
      <c r="U82" s="7">
        <f t="shared" si="7"/>
        <v>45693</v>
      </c>
      <c r="V82" s="6">
        <f t="shared" si="8"/>
        <v>6</v>
      </c>
      <c r="W82" s="8" t="str">
        <f t="shared" si="9"/>
        <v>16:00</v>
      </c>
      <c r="X82" s="8" t="str">
        <f t="shared" si="10"/>
        <v>18:01</v>
      </c>
      <c r="Y82" s="9">
        <f t="shared" si="11"/>
        <v>8.4027777777777812E-2</v>
      </c>
      <c r="Z82" s="22" t="str">
        <f t="shared" si="12"/>
        <v>2025-02-05 수 (16:00~18:01) : 2시간 1분</v>
      </c>
      <c r="AA82" s="22"/>
      <c r="AB82" s="6" t="str">
        <f ca="1">_xlfn.XLOOKUP(I82, 기초데이터!$C$2:$C$305, 기초데이터!$U$2:$U$305)</f>
        <v>iypark@neurophet.com</v>
      </c>
    </row>
    <row r="83" spans="1:28" x14ac:dyDescent="0.3">
      <c r="A83" s="6">
        <f>SUBTOTAL(3,$I$2:I83)*1</f>
        <v>82</v>
      </c>
      <c r="B83" s="21" t="s">
        <v>362</v>
      </c>
      <c r="C83" s="6" t="s">
        <v>454</v>
      </c>
      <c r="D83" s="6">
        <v>1</v>
      </c>
      <c r="E83" s="6" t="s">
        <v>107</v>
      </c>
      <c r="F83" s="6">
        <v>0</v>
      </c>
      <c r="G83" s="6" t="s">
        <v>111</v>
      </c>
      <c r="H83" s="6" t="s">
        <v>30</v>
      </c>
      <c r="I83" s="6" t="s">
        <v>112</v>
      </c>
      <c r="J83" s="6" t="s">
        <v>113</v>
      </c>
      <c r="K83" s="6" t="s">
        <v>33</v>
      </c>
      <c r="L83" s="6" t="s">
        <v>34</v>
      </c>
      <c r="M83" s="6" t="s">
        <v>35</v>
      </c>
      <c r="N83" s="6" t="s">
        <v>394</v>
      </c>
      <c r="O83" s="6" t="s">
        <v>395</v>
      </c>
      <c r="P83" s="6" t="s">
        <v>396</v>
      </c>
      <c r="T83" s="6" t="s">
        <v>455</v>
      </c>
      <c r="U83" s="7">
        <f t="shared" si="7"/>
        <v>45693</v>
      </c>
      <c r="V83" s="6">
        <f t="shared" si="8"/>
        <v>6</v>
      </c>
      <c r="W83" s="8" t="str">
        <f t="shared" si="9"/>
        <v>16:00</v>
      </c>
      <c r="X83" s="8" t="str">
        <f t="shared" si="10"/>
        <v>19:20</v>
      </c>
      <c r="Y83" s="9">
        <f t="shared" si="11"/>
        <v>0.13888888888888895</v>
      </c>
      <c r="Z83" s="22" t="str">
        <f t="shared" si="12"/>
        <v>2025-02-05 수 (16:00~19:20) : 3시간 20분</v>
      </c>
      <c r="AA83" s="22"/>
      <c r="AB83" s="6" t="str">
        <f ca="1">_xlfn.XLOOKUP(I83, 기초데이터!$C$2:$C$305, 기초데이터!$U$2:$U$305)</f>
        <v>mshyun@neurophet.com</v>
      </c>
    </row>
    <row r="84" spans="1:28" x14ac:dyDescent="0.3">
      <c r="A84" s="6">
        <f>SUBTOTAL(3,$I$2:I84)*1</f>
        <v>83</v>
      </c>
      <c r="B84" s="21" t="s">
        <v>362</v>
      </c>
      <c r="C84" s="6" t="s">
        <v>456</v>
      </c>
      <c r="D84" s="6">
        <v>1</v>
      </c>
      <c r="E84" s="6" t="s">
        <v>70</v>
      </c>
      <c r="F84" s="6">
        <v>0</v>
      </c>
      <c r="G84" s="6" t="s">
        <v>406</v>
      </c>
      <c r="H84" s="6" t="s">
        <v>30</v>
      </c>
      <c r="I84" s="6" t="s">
        <v>407</v>
      </c>
      <c r="J84" s="6" t="s">
        <v>408</v>
      </c>
      <c r="K84" s="6" t="s">
        <v>33</v>
      </c>
      <c r="L84" s="6" t="s">
        <v>34</v>
      </c>
      <c r="M84" s="6" t="s">
        <v>35</v>
      </c>
      <c r="N84" s="6" t="s">
        <v>394</v>
      </c>
      <c r="O84" s="6" t="s">
        <v>409</v>
      </c>
      <c r="P84" s="6" t="s">
        <v>410</v>
      </c>
      <c r="T84" s="6" t="s">
        <v>455</v>
      </c>
      <c r="U84" s="7">
        <f t="shared" si="7"/>
        <v>45693</v>
      </c>
      <c r="V84" s="6">
        <f t="shared" si="8"/>
        <v>6</v>
      </c>
      <c r="W84" s="8" t="str">
        <f t="shared" si="9"/>
        <v>16:09</v>
      </c>
      <c r="X84" s="8" t="str">
        <f t="shared" si="10"/>
        <v>19:21</v>
      </c>
      <c r="Y84" s="9">
        <f t="shared" si="11"/>
        <v>0.1333333333333333</v>
      </c>
      <c r="Z84" s="22" t="str">
        <f t="shared" si="12"/>
        <v>2025-02-05 수 (16:09~19:21) : 3시간 12분</v>
      </c>
      <c r="AA84" s="22"/>
      <c r="AB84" s="6" t="str">
        <f ca="1">_xlfn.XLOOKUP(I84, 기초데이터!$C$2:$C$305, 기초데이터!$U$2:$U$305)</f>
        <v>brhan@neurophet.com</v>
      </c>
    </row>
    <row r="85" spans="1:28" x14ac:dyDescent="0.3">
      <c r="A85" s="6">
        <f>SUBTOTAL(3,$I$2:I85)*1</f>
        <v>84</v>
      </c>
      <c r="B85" s="21" t="s">
        <v>362</v>
      </c>
      <c r="C85" s="6" t="s">
        <v>457</v>
      </c>
      <c r="D85" s="6">
        <v>1</v>
      </c>
      <c r="E85" s="6" t="s">
        <v>63</v>
      </c>
      <c r="F85" s="6">
        <v>0</v>
      </c>
      <c r="G85" s="6" t="s">
        <v>42</v>
      </c>
      <c r="H85" s="6" t="s">
        <v>30</v>
      </c>
      <c r="I85" s="6" t="s">
        <v>81</v>
      </c>
      <c r="J85" s="6" t="s">
        <v>82</v>
      </c>
      <c r="K85" s="6" t="s">
        <v>33</v>
      </c>
      <c r="L85" s="6" t="s">
        <v>34</v>
      </c>
      <c r="M85" s="6" t="s">
        <v>35</v>
      </c>
      <c r="N85" s="6" t="s">
        <v>458</v>
      </c>
      <c r="O85" s="6" t="s">
        <v>459</v>
      </c>
      <c r="P85" s="6" t="s">
        <v>460</v>
      </c>
      <c r="T85" s="6" t="s">
        <v>461</v>
      </c>
      <c r="U85" s="7">
        <f t="shared" si="7"/>
        <v>45693</v>
      </c>
      <c r="V85" s="6">
        <f t="shared" si="8"/>
        <v>6</v>
      </c>
      <c r="W85" s="8" t="str">
        <f t="shared" si="9"/>
        <v>16:39</v>
      </c>
      <c r="X85" s="8" t="str">
        <f t="shared" si="10"/>
        <v>19:40</v>
      </c>
      <c r="Y85" s="9">
        <f t="shared" si="11"/>
        <v>0.12569444444444444</v>
      </c>
      <c r="Z85" s="22" t="str">
        <f t="shared" si="12"/>
        <v>2025-02-05 수 (16:39~19:40) : 3시간 1분</v>
      </c>
      <c r="AA85" s="22"/>
      <c r="AB85" s="6" t="str">
        <f ca="1">_xlfn.XLOOKUP(I85, 기초데이터!$C$2:$C$305, 기초데이터!$U$2:$U$305)</f>
        <v>dahyun@neurophet.com</v>
      </c>
    </row>
    <row r="86" spans="1:28" x14ac:dyDescent="0.3">
      <c r="A86" s="6">
        <f>SUBTOTAL(3,$I$2:I86)*1</f>
        <v>85</v>
      </c>
      <c r="B86" s="21" t="s">
        <v>362</v>
      </c>
      <c r="C86" s="6" t="s">
        <v>462</v>
      </c>
      <c r="D86" s="6">
        <v>1</v>
      </c>
      <c r="E86" s="6" t="s">
        <v>63</v>
      </c>
      <c r="F86" s="6">
        <v>0</v>
      </c>
      <c r="G86" s="6" t="s">
        <v>399</v>
      </c>
      <c r="H86" s="6" t="s">
        <v>30</v>
      </c>
      <c r="I86" s="6" t="s">
        <v>400</v>
      </c>
      <c r="J86" s="6" t="s">
        <v>401</v>
      </c>
      <c r="K86" s="6" t="s">
        <v>33</v>
      </c>
      <c r="L86" s="6" t="s">
        <v>34</v>
      </c>
      <c r="M86" s="6" t="s">
        <v>35</v>
      </c>
      <c r="N86" s="6" t="s">
        <v>426</v>
      </c>
      <c r="O86" s="6" t="s">
        <v>427</v>
      </c>
      <c r="P86" s="6" t="s">
        <v>428</v>
      </c>
      <c r="T86" s="6" t="s">
        <v>429</v>
      </c>
      <c r="U86" s="7">
        <f t="shared" si="7"/>
        <v>45693</v>
      </c>
      <c r="V86" s="6">
        <f t="shared" si="8"/>
        <v>6</v>
      </c>
      <c r="W86" s="8" t="str">
        <f t="shared" si="9"/>
        <v>17:00</v>
      </c>
      <c r="X86" s="8" t="str">
        <f t="shared" si="10"/>
        <v>20:00</v>
      </c>
      <c r="Y86" s="9">
        <f t="shared" si="11"/>
        <v>0.125</v>
      </c>
      <c r="Z86" s="22" t="str">
        <f t="shared" si="12"/>
        <v>2025-02-05 수 (17:00~20:00) : 3시간</v>
      </c>
      <c r="AA86" s="22"/>
      <c r="AB86" s="6" t="str">
        <f ca="1">_xlfn.XLOOKUP(I86, 기초데이터!$C$2:$C$305, 기초데이터!$U$2:$U$305)</f>
        <v>lsr@neurophet.com</v>
      </c>
    </row>
    <row r="87" spans="1:28" x14ac:dyDescent="0.3">
      <c r="A87" s="6">
        <f>SUBTOTAL(3,$I$2:I87)*1</f>
        <v>86</v>
      </c>
      <c r="B87" s="21" t="s">
        <v>362</v>
      </c>
      <c r="C87" s="6" t="s">
        <v>463</v>
      </c>
      <c r="D87" s="6">
        <v>1</v>
      </c>
      <c r="E87" s="6" t="s">
        <v>50</v>
      </c>
      <c r="F87" s="6">
        <v>0</v>
      </c>
      <c r="G87" s="6" t="s">
        <v>364</v>
      </c>
      <c r="H87" s="6" t="s">
        <v>30</v>
      </c>
      <c r="I87" s="6" t="s">
        <v>365</v>
      </c>
      <c r="J87" s="6" t="s">
        <v>366</v>
      </c>
      <c r="K87" s="6" t="s">
        <v>33</v>
      </c>
      <c r="L87" s="6" t="s">
        <v>34</v>
      </c>
      <c r="M87" s="6" t="s">
        <v>35</v>
      </c>
      <c r="N87" s="6" t="s">
        <v>377</v>
      </c>
      <c r="O87" s="6" t="s">
        <v>378</v>
      </c>
      <c r="P87" s="6" t="s">
        <v>379</v>
      </c>
      <c r="T87" s="6" t="s">
        <v>380</v>
      </c>
      <c r="U87" s="7">
        <f t="shared" si="7"/>
        <v>45693</v>
      </c>
      <c r="V87" s="6">
        <f t="shared" si="8"/>
        <v>6</v>
      </c>
      <c r="W87" s="8" t="str">
        <f t="shared" si="9"/>
        <v>17:30</v>
      </c>
      <c r="X87" s="8" t="str">
        <f t="shared" si="10"/>
        <v>20:13</v>
      </c>
      <c r="Y87" s="9">
        <f t="shared" si="11"/>
        <v>0.11319444444444449</v>
      </c>
      <c r="Z87" s="22" t="str">
        <f t="shared" si="12"/>
        <v>2025-02-05 수 (17:30~20:13) : 2시간 43분</v>
      </c>
      <c r="AA87" s="22"/>
      <c r="AB87" s="6" t="str">
        <f ca="1">_xlfn.XLOOKUP(I87, 기초데이터!$C$2:$C$305, 기초데이터!$U$2:$U$305)</f>
        <v>noah@neurophet.com</v>
      </c>
    </row>
    <row r="88" spans="1:28" x14ac:dyDescent="0.3">
      <c r="A88" s="6">
        <f>SUBTOTAL(3,$I$2:I88)*1</f>
        <v>87</v>
      </c>
      <c r="B88" s="21" t="s">
        <v>362</v>
      </c>
      <c r="C88" s="6" t="s">
        <v>464</v>
      </c>
      <c r="D88" s="6">
        <v>1</v>
      </c>
      <c r="E88" s="6" t="s">
        <v>53</v>
      </c>
      <c r="F88" s="6">
        <v>0</v>
      </c>
      <c r="G88" s="6" t="s">
        <v>131</v>
      </c>
      <c r="H88" s="6" t="s">
        <v>56</v>
      </c>
      <c r="I88" s="6" t="s">
        <v>132</v>
      </c>
      <c r="J88" s="6" t="s">
        <v>133</v>
      </c>
      <c r="K88" s="6" t="s">
        <v>33</v>
      </c>
      <c r="L88" s="6" t="s">
        <v>34</v>
      </c>
      <c r="M88" s="6" t="s">
        <v>35</v>
      </c>
      <c r="N88" s="6" t="s">
        <v>445</v>
      </c>
      <c r="O88" s="6" t="s">
        <v>465</v>
      </c>
      <c r="P88" s="6" t="s">
        <v>466</v>
      </c>
      <c r="T88" s="6" t="s">
        <v>467</v>
      </c>
      <c r="U88" s="7">
        <f t="shared" si="7"/>
        <v>45693</v>
      </c>
      <c r="V88" s="6">
        <f t="shared" si="8"/>
        <v>6</v>
      </c>
      <c r="W88" s="8" t="str">
        <f t="shared" si="9"/>
        <v>17:30</v>
      </c>
      <c r="X88" s="8" t="str">
        <f t="shared" si="10"/>
        <v>21:30</v>
      </c>
      <c r="Y88" s="9">
        <f t="shared" si="11"/>
        <v>0.16666666666666674</v>
      </c>
      <c r="Z88" s="22" t="str">
        <f t="shared" si="12"/>
        <v>2025-02-05 수 (17:30~21:30) : 4시간</v>
      </c>
      <c r="AA88" s="22"/>
      <c r="AB88" s="6" t="str">
        <f ca="1">_xlfn.XLOOKUP(I88, 기초데이터!$C$2:$C$305, 기초데이터!$U$2:$U$305)</f>
        <v>kelly.seo@neurophet.com</v>
      </c>
    </row>
    <row r="89" spans="1:28" x14ac:dyDescent="0.3">
      <c r="A89" s="6">
        <f>SUBTOTAL(3,$I$2:I89)*1</f>
        <v>88</v>
      </c>
      <c r="B89" s="21" t="s">
        <v>362</v>
      </c>
      <c r="C89" s="6" t="s">
        <v>468</v>
      </c>
      <c r="D89" s="6">
        <v>1</v>
      </c>
      <c r="E89" s="6" t="s">
        <v>469</v>
      </c>
      <c r="F89" s="6">
        <v>0</v>
      </c>
      <c r="G89" s="6" t="s">
        <v>148</v>
      </c>
      <c r="H89" s="6" t="s">
        <v>30</v>
      </c>
      <c r="I89" s="6" t="s">
        <v>348</v>
      </c>
      <c r="J89" s="6" t="s">
        <v>349</v>
      </c>
      <c r="K89" s="6" t="s">
        <v>33</v>
      </c>
      <c r="L89" s="6" t="s">
        <v>34</v>
      </c>
      <c r="M89" s="6" t="s">
        <v>35</v>
      </c>
      <c r="N89" s="6" t="s">
        <v>470</v>
      </c>
      <c r="O89" s="6" t="s">
        <v>471</v>
      </c>
      <c r="P89" s="6" t="s">
        <v>472</v>
      </c>
      <c r="T89" s="6" t="s">
        <v>473</v>
      </c>
      <c r="U89" s="7">
        <f t="shared" si="7"/>
        <v>45693</v>
      </c>
      <c r="V89" s="6">
        <f t="shared" si="8"/>
        <v>6</v>
      </c>
      <c r="W89" s="8" t="str">
        <f t="shared" si="9"/>
        <v>17:32</v>
      </c>
      <c r="X89" s="8" t="str">
        <f t="shared" si="10"/>
        <v>18:35</v>
      </c>
      <c r="Y89" s="9">
        <f t="shared" si="11"/>
        <v>4.3750000000000067E-2</v>
      </c>
      <c r="Z89" s="22" t="str">
        <f t="shared" si="12"/>
        <v>2025-02-05 수 (17:32~18:35) : 1시간 3분</v>
      </c>
      <c r="AA89" s="22"/>
      <c r="AB89" s="6" t="str">
        <f ca="1">_xlfn.XLOOKUP(I89, 기초데이터!$C$2:$C$305, 기초데이터!$U$2:$U$305)</f>
        <v>cwseo@neurophet.com</v>
      </c>
    </row>
    <row r="90" spans="1:28" x14ac:dyDescent="0.3">
      <c r="A90" s="6">
        <f>SUBTOTAL(3,$I$2:I90)*1</f>
        <v>89</v>
      </c>
      <c r="B90" s="21" t="s">
        <v>362</v>
      </c>
      <c r="C90" s="6" t="s">
        <v>474</v>
      </c>
      <c r="D90" s="6">
        <v>1</v>
      </c>
      <c r="E90" s="6" t="s">
        <v>50</v>
      </c>
      <c r="F90" s="6">
        <v>0</v>
      </c>
      <c r="G90" s="6" t="s">
        <v>355</v>
      </c>
      <c r="H90" s="6" t="s">
        <v>56</v>
      </c>
      <c r="I90" s="6" t="s">
        <v>475</v>
      </c>
      <c r="J90" s="6" t="s">
        <v>476</v>
      </c>
      <c r="K90" s="6" t="s">
        <v>33</v>
      </c>
      <c r="L90" s="6" t="s">
        <v>34</v>
      </c>
      <c r="M90" s="6" t="s">
        <v>35</v>
      </c>
      <c r="N90" s="6" t="s">
        <v>445</v>
      </c>
      <c r="O90" s="6" t="s">
        <v>477</v>
      </c>
      <c r="P90" s="6" t="s">
        <v>478</v>
      </c>
      <c r="T90" s="6" t="s">
        <v>479</v>
      </c>
      <c r="U90" s="7">
        <f t="shared" si="7"/>
        <v>45693</v>
      </c>
      <c r="V90" s="6">
        <f t="shared" si="8"/>
        <v>6</v>
      </c>
      <c r="W90" s="8" t="str">
        <f t="shared" si="9"/>
        <v>18:40</v>
      </c>
      <c r="X90" s="8" t="str">
        <f t="shared" si="10"/>
        <v>21:20</v>
      </c>
      <c r="Y90" s="9">
        <f t="shared" si="11"/>
        <v>0.11111111111111105</v>
      </c>
      <c r="Z90" s="22" t="str">
        <f t="shared" si="12"/>
        <v>2025-02-05 수 (18:40~21:20) : 2시간 40분</v>
      </c>
      <c r="AA90" s="22"/>
      <c r="AB90" s="6" t="str">
        <f ca="1">_xlfn.XLOOKUP(I90, 기초데이터!$C$2:$C$305, 기초데이터!$U$2:$U$305)</f>
        <v>yschoe@neurophet.com</v>
      </c>
    </row>
    <row r="91" spans="1:28" x14ac:dyDescent="0.3">
      <c r="A91" s="6">
        <f>SUBTOTAL(3,$I$2:I91)*1</f>
        <v>90</v>
      </c>
      <c r="B91" s="21" t="s">
        <v>362</v>
      </c>
      <c r="C91" s="6" t="s">
        <v>480</v>
      </c>
      <c r="D91" s="6">
        <v>1</v>
      </c>
      <c r="E91" s="6" t="s">
        <v>128</v>
      </c>
      <c r="F91" s="6">
        <v>0</v>
      </c>
      <c r="G91" s="6" t="s">
        <v>111</v>
      </c>
      <c r="H91" s="6" t="s">
        <v>30</v>
      </c>
      <c r="I91" s="6" t="s">
        <v>112</v>
      </c>
      <c r="J91" s="6" t="s">
        <v>113</v>
      </c>
      <c r="K91" s="6" t="s">
        <v>33</v>
      </c>
      <c r="L91" s="6" t="s">
        <v>34</v>
      </c>
      <c r="M91" s="6" t="s">
        <v>35</v>
      </c>
      <c r="N91" s="6" t="s">
        <v>394</v>
      </c>
      <c r="O91" s="6" t="s">
        <v>395</v>
      </c>
      <c r="P91" s="6" t="s">
        <v>396</v>
      </c>
      <c r="T91" s="6" t="s">
        <v>455</v>
      </c>
      <c r="U91" s="7">
        <f t="shared" si="7"/>
        <v>45694</v>
      </c>
      <c r="V91" s="6">
        <f t="shared" si="8"/>
        <v>6</v>
      </c>
      <c r="W91" s="8" t="str">
        <f t="shared" si="9"/>
        <v>16:00</v>
      </c>
      <c r="X91" s="8" t="str">
        <f t="shared" si="10"/>
        <v>18:01</v>
      </c>
      <c r="Y91" s="9">
        <f t="shared" si="11"/>
        <v>8.4027777777777812E-2</v>
      </c>
      <c r="Z91" s="22" t="str">
        <f t="shared" si="12"/>
        <v>2025-02-06 목 (16:00~18:01) : 2시간 1분</v>
      </c>
      <c r="AA91" s="22"/>
      <c r="AB91" s="6" t="str">
        <f ca="1">_xlfn.XLOOKUP(I91, 기초데이터!$C$2:$C$305, 기초데이터!$U$2:$U$305)</f>
        <v>mshyun@neurophet.com</v>
      </c>
    </row>
    <row r="92" spans="1:28" x14ac:dyDescent="0.3">
      <c r="A92" s="6">
        <f>SUBTOTAL(3,$I$2:I92)*1</f>
        <v>91</v>
      </c>
      <c r="B92" s="21" t="s">
        <v>362</v>
      </c>
      <c r="C92" s="6" t="s">
        <v>481</v>
      </c>
      <c r="D92" s="6">
        <v>1</v>
      </c>
      <c r="E92" s="6" t="s">
        <v>237</v>
      </c>
      <c r="F92" s="6">
        <v>0</v>
      </c>
      <c r="G92" s="6" t="s">
        <v>406</v>
      </c>
      <c r="H92" s="6" t="s">
        <v>30</v>
      </c>
      <c r="I92" s="6" t="s">
        <v>407</v>
      </c>
      <c r="J92" s="6" t="s">
        <v>408</v>
      </c>
      <c r="K92" s="6" t="s">
        <v>33</v>
      </c>
      <c r="L92" s="6" t="s">
        <v>34</v>
      </c>
      <c r="M92" s="6" t="s">
        <v>35</v>
      </c>
      <c r="N92" s="6" t="s">
        <v>394</v>
      </c>
      <c r="O92" s="6" t="s">
        <v>409</v>
      </c>
      <c r="P92" s="6" t="s">
        <v>410</v>
      </c>
      <c r="T92" s="6" t="s">
        <v>455</v>
      </c>
      <c r="U92" s="7">
        <f t="shared" si="7"/>
        <v>45694</v>
      </c>
      <c r="V92" s="6">
        <f t="shared" si="8"/>
        <v>6</v>
      </c>
      <c r="W92" s="8" t="str">
        <f t="shared" si="9"/>
        <v>16:09</v>
      </c>
      <c r="X92" s="8" t="str">
        <f t="shared" si="10"/>
        <v>18:21</v>
      </c>
      <c r="Y92" s="9">
        <f t="shared" si="11"/>
        <v>9.1666666666666563E-2</v>
      </c>
      <c r="Z92" s="22" t="str">
        <f t="shared" si="12"/>
        <v>2025-02-06 목 (16:09~18:21) : 2시간 12분</v>
      </c>
      <c r="AA92" s="22"/>
      <c r="AB92" s="6" t="str">
        <f ca="1">_xlfn.XLOOKUP(I92, 기초데이터!$C$2:$C$305, 기초데이터!$U$2:$U$305)</f>
        <v>brhan@neurophet.com</v>
      </c>
    </row>
    <row r="93" spans="1:28" x14ac:dyDescent="0.3">
      <c r="A93" s="6">
        <f>SUBTOTAL(3,$I$2:I93)*1</f>
        <v>92</v>
      </c>
      <c r="B93" s="21" t="s">
        <v>362</v>
      </c>
      <c r="C93" s="6" t="s">
        <v>482</v>
      </c>
      <c r="D93" s="6">
        <v>1</v>
      </c>
      <c r="E93" s="6" t="s">
        <v>55</v>
      </c>
      <c r="F93" s="6">
        <v>0</v>
      </c>
      <c r="G93" s="6" t="s">
        <v>399</v>
      </c>
      <c r="H93" s="6" t="s">
        <v>56</v>
      </c>
      <c r="I93" s="6" t="s">
        <v>420</v>
      </c>
      <c r="J93" s="6" t="s">
        <v>421</v>
      </c>
      <c r="K93" s="6" t="s">
        <v>33</v>
      </c>
      <c r="L93" s="6" t="s">
        <v>34</v>
      </c>
      <c r="M93" s="6" t="s">
        <v>35</v>
      </c>
      <c r="N93" s="6" t="s">
        <v>458</v>
      </c>
      <c r="O93" s="6" t="s">
        <v>483</v>
      </c>
      <c r="P93" s="6" t="s">
        <v>484</v>
      </c>
      <c r="T93" s="6" t="s">
        <v>485</v>
      </c>
      <c r="U93" s="7">
        <f t="shared" si="7"/>
        <v>45694</v>
      </c>
      <c r="V93" s="6">
        <f t="shared" si="8"/>
        <v>6</v>
      </c>
      <c r="W93" s="8" t="str">
        <f t="shared" si="9"/>
        <v>16:32</v>
      </c>
      <c r="X93" s="8" t="str">
        <f t="shared" si="10"/>
        <v>19:02</v>
      </c>
      <c r="Y93" s="9">
        <f t="shared" si="11"/>
        <v>0.10416666666666663</v>
      </c>
      <c r="Z93" s="22" t="str">
        <f t="shared" si="12"/>
        <v>2025-02-06 목 (16:32~19:02) : 2시간 30분</v>
      </c>
      <c r="AA93" s="22"/>
      <c r="AB93" s="6" t="str">
        <f ca="1">_xlfn.XLOOKUP(I93, 기초데이터!$C$2:$C$305, 기초데이터!$U$2:$U$305)</f>
        <v>manjae.jeon@neurophet.com</v>
      </c>
    </row>
    <row r="94" spans="1:28" x14ac:dyDescent="0.3">
      <c r="A94" s="6">
        <f>SUBTOTAL(3,$I$2:I94)*1</f>
        <v>93</v>
      </c>
      <c r="B94" s="21" t="s">
        <v>362</v>
      </c>
      <c r="C94" s="6" t="s">
        <v>486</v>
      </c>
      <c r="D94" s="6">
        <v>1</v>
      </c>
      <c r="E94" s="6" t="s">
        <v>128</v>
      </c>
      <c r="F94" s="6">
        <v>0</v>
      </c>
      <c r="G94" s="6" t="s">
        <v>399</v>
      </c>
      <c r="H94" s="6" t="s">
        <v>30</v>
      </c>
      <c r="I94" s="6" t="s">
        <v>400</v>
      </c>
      <c r="J94" s="6" t="s">
        <v>401</v>
      </c>
      <c r="K94" s="6" t="s">
        <v>33</v>
      </c>
      <c r="L94" s="6" t="s">
        <v>34</v>
      </c>
      <c r="M94" s="6" t="s">
        <v>35</v>
      </c>
      <c r="N94" s="6" t="s">
        <v>450</v>
      </c>
      <c r="O94" s="6" t="s">
        <v>487</v>
      </c>
      <c r="P94" s="6" t="s">
        <v>488</v>
      </c>
      <c r="T94" s="6" t="s">
        <v>489</v>
      </c>
      <c r="U94" s="7">
        <f t="shared" si="7"/>
        <v>45694</v>
      </c>
      <c r="V94" s="6">
        <f t="shared" si="8"/>
        <v>6</v>
      </c>
      <c r="W94" s="8" t="str">
        <f t="shared" si="9"/>
        <v>16:35</v>
      </c>
      <c r="X94" s="8" t="str">
        <f t="shared" si="10"/>
        <v>18:35</v>
      </c>
      <c r="Y94" s="9">
        <f t="shared" si="11"/>
        <v>8.333333333333337E-2</v>
      </c>
      <c r="Z94" s="22" t="str">
        <f t="shared" si="12"/>
        <v>2025-02-06 목 (16:35~18:35) : 2시간</v>
      </c>
      <c r="AA94" s="22"/>
      <c r="AB94" s="6" t="str">
        <f ca="1">_xlfn.XLOOKUP(I94, 기초데이터!$C$2:$C$305, 기초데이터!$U$2:$U$305)</f>
        <v>lsr@neurophet.com</v>
      </c>
    </row>
    <row r="95" spans="1:28" x14ac:dyDescent="0.3">
      <c r="A95" s="6">
        <f>SUBTOTAL(3,$I$2:I95)*1</f>
        <v>94</v>
      </c>
      <c r="B95" s="21" t="s">
        <v>362</v>
      </c>
      <c r="C95" s="6" t="s">
        <v>490</v>
      </c>
      <c r="D95" s="6">
        <v>1</v>
      </c>
      <c r="E95" s="6" t="s">
        <v>128</v>
      </c>
      <c r="F95" s="6">
        <v>0</v>
      </c>
      <c r="G95" s="6" t="s">
        <v>175</v>
      </c>
      <c r="H95" s="6" t="s">
        <v>30</v>
      </c>
      <c r="I95" s="6" t="s">
        <v>176</v>
      </c>
      <c r="J95" s="6" t="s">
        <v>177</v>
      </c>
      <c r="K95" s="6" t="s">
        <v>33</v>
      </c>
      <c r="L95" s="6" t="s">
        <v>34</v>
      </c>
      <c r="M95" s="6" t="s">
        <v>35</v>
      </c>
      <c r="N95" s="6" t="s">
        <v>450</v>
      </c>
      <c r="O95" s="6" t="s">
        <v>491</v>
      </c>
      <c r="P95" s="6" t="s">
        <v>492</v>
      </c>
      <c r="T95" s="6" t="s">
        <v>493</v>
      </c>
      <c r="U95" s="7">
        <f t="shared" si="7"/>
        <v>45694</v>
      </c>
      <c r="V95" s="6">
        <f t="shared" si="8"/>
        <v>6</v>
      </c>
      <c r="W95" s="8" t="str">
        <f t="shared" si="9"/>
        <v>16:38</v>
      </c>
      <c r="X95" s="8" t="str">
        <f t="shared" si="10"/>
        <v>18:38</v>
      </c>
      <c r="Y95" s="9">
        <f t="shared" si="11"/>
        <v>8.333333333333337E-2</v>
      </c>
      <c r="Z95" s="22" t="str">
        <f t="shared" si="12"/>
        <v>2025-02-06 목 (16:38~18:38) : 2시간</v>
      </c>
      <c r="AA95" s="22"/>
      <c r="AB95" s="6" t="str">
        <f ca="1">_xlfn.XLOOKUP(I95, 기초데이터!$C$2:$C$305, 기초데이터!$U$2:$U$305)</f>
        <v>rkhong@neurophet.com</v>
      </c>
    </row>
    <row r="96" spans="1:28" x14ac:dyDescent="0.3">
      <c r="A96" s="6">
        <f>SUBTOTAL(3,$I$2:I96)*1</f>
        <v>95</v>
      </c>
      <c r="B96" s="21" t="s">
        <v>362</v>
      </c>
      <c r="C96" s="6" t="s">
        <v>494</v>
      </c>
      <c r="D96" s="6">
        <v>1</v>
      </c>
      <c r="E96" s="6" t="s">
        <v>128</v>
      </c>
      <c r="F96" s="6">
        <v>0</v>
      </c>
      <c r="G96" s="6" t="s">
        <v>364</v>
      </c>
      <c r="H96" s="6" t="s">
        <v>30</v>
      </c>
      <c r="I96" s="6" t="s">
        <v>365</v>
      </c>
      <c r="J96" s="6" t="s">
        <v>366</v>
      </c>
      <c r="K96" s="6" t="s">
        <v>33</v>
      </c>
      <c r="L96" s="6" t="s">
        <v>34</v>
      </c>
      <c r="M96" s="6" t="s">
        <v>35</v>
      </c>
      <c r="N96" s="6" t="s">
        <v>377</v>
      </c>
      <c r="O96" s="6" t="s">
        <v>378</v>
      </c>
      <c r="P96" s="6" t="s">
        <v>379</v>
      </c>
      <c r="T96" s="6" t="s">
        <v>380</v>
      </c>
      <c r="U96" s="7">
        <f t="shared" si="7"/>
        <v>45694</v>
      </c>
      <c r="V96" s="6">
        <f t="shared" si="8"/>
        <v>6</v>
      </c>
      <c r="W96" s="8" t="str">
        <f t="shared" si="9"/>
        <v>17:27</v>
      </c>
      <c r="X96" s="8" t="str">
        <f t="shared" si="10"/>
        <v>19:26</v>
      </c>
      <c r="Y96" s="9">
        <f t="shared" si="11"/>
        <v>8.2638888888888928E-2</v>
      </c>
      <c r="Z96" s="22" t="str">
        <f t="shared" si="12"/>
        <v>2025-02-06 목 (17:27~19:26) : 1시간 59분</v>
      </c>
      <c r="AA96" s="22"/>
      <c r="AB96" s="6" t="str">
        <f ca="1">_xlfn.XLOOKUP(I96, 기초데이터!$C$2:$C$305, 기초데이터!$U$2:$U$305)</f>
        <v>noah@neurophet.com</v>
      </c>
    </row>
    <row r="97" spans="1:28" x14ac:dyDescent="0.3">
      <c r="A97" s="6">
        <f>SUBTOTAL(3,$I$2:I97)*1</f>
        <v>96</v>
      </c>
      <c r="B97" s="21" t="s">
        <v>362</v>
      </c>
      <c r="C97" s="6" t="s">
        <v>495</v>
      </c>
      <c r="D97" s="6">
        <v>1</v>
      </c>
      <c r="E97" s="6" t="s">
        <v>53</v>
      </c>
      <c r="F97" s="6">
        <v>0</v>
      </c>
      <c r="G97" s="6" t="s">
        <v>131</v>
      </c>
      <c r="H97" s="6" t="s">
        <v>56</v>
      </c>
      <c r="I97" s="6" t="s">
        <v>132</v>
      </c>
      <c r="J97" s="6" t="s">
        <v>133</v>
      </c>
      <c r="K97" s="6" t="s">
        <v>33</v>
      </c>
      <c r="L97" s="6" t="s">
        <v>34</v>
      </c>
      <c r="M97" s="6" t="s">
        <v>35</v>
      </c>
      <c r="N97" s="6" t="s">
        <v>458</v>
      </c>
      <c r="O97" s="6" t="s">
        <v>496</v>
      </c>
      <c r="P97" s="6" t="s">
        <v>497</v>
      </c>
      <c r="T97" s="6" t="s">
        <v>498</v>
      </c>
      <c r="U97" s="7">
        <f t="shared" si="7"/>
        <v>45694</v>
      </c>
      <c r="V97" s="6">
        <f t="shared" si="8"/>
        <v>6</v>
      </c>
      <c r="W97" s="8" t="str">
        <f t="shared" si="9"/>
        <v>18:00</v>
      </c>
      <c r="X97" s="8" t="str">
        <f t="shared" si="10"/>
        <v>22:00</v>
      </c>
      <c r="Y97" s="9">
        <f t="shared" si="11"/>
        <v>0.16666666666666663</v>
      </c>
      <c r="Z97" s="22" t="str">
        <f t="shared" si="12"/>
        <v>2025-02-06 목 (18:00~22:00) : 4시간</v>
      </c>
      <c r="AA97" s="22"/>
      <c r="AB97" s="6" t="str">
        <f ca="1">_xlfn.XLOOKUP(I97, 기초데이터!$C$2:$C$305, 기초데이터!$U$2:$U$305)</f>
        <v>kelly.seo@neurophet.com</v>
      </c>
    </row>
    <row r="98" spans="1:28" x14ac:dyDescent="0.3">
      <c r="A98" s="6">
        <f>SUBTOTAL(3,$I$2:I98)*1</f>
        <v>97</v>
      </c>
      <c r="B98" s="21" t="s">
        <v>362</v>
      </c>
      <c r="C98" s="6" t="s">
        <v>499</v>
      </c>
      <c r="D98" s="6">
        <v>1</v>
      </c>
      <c r="E98" s="6" t="s">
        <v>218</v>
      </c>
      <c r="F98" s="6">
        <v>0</v>
      </c>
      <c r="G98" s="6" t="s">
        <v>355</v>
      </c>
      <c r="H98" s="6" t="s">
        <v>56</v>
      </c>
      <c r="I98" s="6" t="s">
        <v>475</v>
      </c>
      <c r="J98" s="6" t="s">
        <v>476</v>
      </c>
      <c r="K98" s="6" t="s">
        <v>33</v>
      </c>
      <c r="L98" s="6" t="s">
        <v>34</v>
      </c>
      <c r="M98" s="6" t="s">
        <v>35</v>
      </c>
      <c r="N98" s="6" t="s">
        <v>450</v>
      </c>
      <c r="O98" s="6" t="s">
        <v>500</v>
      </c>
      <c r="P98" s="6" t="s">
        <v>501</v>
      </c>
      <c r="T98" s="6" t="s">
        <v>502</v>
      </c>
      <c r="U98" s="7">
        <f t="shared" si="7"/>
        <v>45694</v>
      </c>
      <c r="V98" s="6">
        <f t="shared" si="8"/>
        <v>6</v>
      </c>
      <c r="W98" s="8" t="str">
        <f t="shared" si="9"/>
        <v>18:45</v>
      </c>
      <c r="X98" s="8" t="str">
        <f t="shared" si="10"/>
        <v>21:08</v>
      </c>
      <c r="Y98" s="9">
        <f t="shared" si="11"/>
        <v>9.9305555555555536E-2</v>
      </c>
      <c r="Z98" s="22" t="str">
        <f t="shared" si="12"/>
        <v>2025-02-06 목 (18:45~21:08) : 2시간 23분</v>
      </c>
      <c r="AA98" s="22"/>
      <c r="AB98" s="6" t="str">
        <f ca="1">_xlfn.XLOOKUP(I98, 기초데이터!$C$2:$C$305, 기초데이터!$U$2:$U$305)</f>
        <v>yschoe@neurophet.com</v>
      </c>
    </row>
    <row r="99" spans="1:28" x14ac:dyDescent="0.3">
      <c r="A99" s="6">
        <f>SUBTOTAL(3,$I$2:I99)*1</f>
        <v>98</v>
      </c>
      <c r="B99" s="21" t="s">
        <v>362</v>
      </c>
      <c r="C99" s="6" t="s">
        <v>503</v>
      </c>
      <c r="D99" s="6">
        <v>1</v>
      </c>
      <c r="E99" s="6" t="s">
        <v>237</v>
      </c>
      <c r="F99" s="6">
        <v>0</v>
      </c>
      <c r="G99" s="6" t="s">
        <v>42</v>
      </c>
      <c r="H99" s="6" t="s">
        <v>56</v>
      </c>
      <c r="I99" s="6" t="s">
        <v>94</v>
      </c>
      <c r="J99" s="6" t="s">
        <v>95</v>
      </c>
      <c r="K99" s="6" t="s">
        <v>33</v>
      </c>
      <c r="L99" s="6" t="s">
        <v>34</v>
      </c>
      <c r="M99" s="6" t="s">
        <v>35</v>
      </c>
      <c r="N99" s="6" t="s">
        <v>450</v>
      </c>
      <c r="O99" s="6" t="s">
        <v>504</v>
      </c>
      <c r="P99" s="6" t="s">
        <v>505</v>
      </c>
      <c r="T99" s="6" t="s">
        <v>506</v>
      </c>
      <c r="U99" s="7">
        <f t="shared" si="7"/>
        <v>45694</v>
      </c>
      <c r="V99" s="6">
        <f t="shared" si="8"/>
        <v>6</v>
      </c>
      <c r="W99" s="8" t="str">
        <f t="shared" si="9"/>
        <v>20:58</v>
      </c>
      <c r="X99" s="8" t="str">
        <f t="shared" si="10"/>
        <v>23:10</v>
      </c>
      <c r="Y99" s="9">
        <f t="shared" si="11"/>
        <v>9.1666666666666674E-2</v>
      </c>
      <c r="Z99" s="22" t="str">
        <f t="shared" si="12"/>
        <v>2025-02-06 목 (20:58~23:10) : 2시간 12분</v>
      </c>
      <c r="AA99" s="22"/>
      <c r="AB99" s="6" t="str">
        <f ca="1">_xlfn.XLOOKUP(I99, 기초데이터!$C$2:$C$305, 기초데이터!$U$2:$U$305)</f>
        <v>clarence@neurophet.com</v>
      </c>
    </row>
    <row r="100" spans="1:28" x14ac:dyDescent="0.3">
      <c r="A100" s="6">
        <f>SUBTOTAL(3,$I$2:I100)*1</f>
        <v>99</v>
      </c>
      <c r="B100" s="21" t="s">
        <v>362</v>
      </c>
      <c r="C100" s="6" t="s">
        <v>507</v>
      </c>
      <c r="D100" s="6">
        <v>1</v>
      </c>
      <c r="E100" s="6" t="s">
        <v>63</v>
      </c>
      <c r="F100" s="6">
        <v>0</v>
      </c>
      <c r="G100" s="6" t="s">
        <v>111</v>
      </c>
      <c r="H100" s="6" t="s">
        <v>30</v>
      </c>
      <c r="I100" s="6" t="s">
        <v>112</v>
      </c>
      <c r="J100" s="6" t="s">
        <v>113</v>
      </c>
      <c r="K100" s="6" t="s">
        <v>33</v>
      </c>
      <c r="L100" s="6" t="s">
        <v>34</v>
      </c>
      <c r="M100" s="6" t="s">
        <v>35</v>
      </c>
      <c r="N100" s="6" t="s">
        <v>394</v>
      </c>
      <c r="O100" s="6" t="s">
        <v>395</v>
      </c>
      <c r="P100" s="6" t="s">
        <v>396</v>
      </c>
      <c r="T100" s="6" t="s">
        <v>455</v>
      </c>
      <c r="U100" s="7">
        <f t="shared" si="7"/>
        <v>45695</v>
      </c>
      <c r="V100" s="6">
        <f t="shared" si="8"/>
        <v>6</v>
      </c>
      <c r="W100" s="8" t="str">
        <f t="shared" si="9"/>
        <v>16:00</v>
      </c>
      <c r="X100" s="8" t="str">
        <f t="shared" si="10"/>
        <v>18:59</v>
      </c>
      <c r="Y100" s="9">
        <f t="shared" si="11"/>
        <v>0.12430555555555556</v>
      </c>
      <c r="Z100" s="22" t="str">
        <f t="shared" si="12"/>
        <v>2025-02-07 금 (16:00~18:59) : 2시간 59분</v>
      </c>
      <c r="AA100" s="22"/>
      <c r="AB100" s="6" t="str">
        <f ca="1">_xlfn.XLOOKUP(I100, 기초데이터!$C$2:$C$305, 기초데이터!$U$2:$U$305)</f>
        <v>mshyun@neurophet.com</v>
      </c>
    </row>
    <row r="101" spans="1:28" x14ac:dyDescent="0.3">
      <c r="A101" s="6">
        <f>SUBTOTAL(3,$I$2:I101)*1</f>
        <v>100</v>
      </c>
      <c r="B101" s="21" t="s">
        <v>362</v>
      </c>
      <c r="C101" s="6" t="s">
        <v>508</v>
      </c>
      <c r="D101" s="6">
        <v>1</v>
      </c>
      <c r="E101" s="6" t="s">
        <v>73</v>
      </c>
      <c r="F101" s="6">
        <v>0</v>
      </c>
      <c r="G101" s="6" t="s">
        <v>406</v>
      </c>
      <c r="H101" s="6" t="s">
        <v>30</v>
      </c>
      <c r="I101" s="6" t="s">
        <v>407</v>
      </c>
      <c r="J101" s="6" t="s">
        <v>408</v>
      </c>
      <c r="K101" s="6" t="s">
        <v>33</v>
      </c>
      <c r="L101" s="6" t="s">
        <v>34</v>
      </c>
      <c r="M101" s="6" t="s">
        <v>35</v>
      </c>
      <c r="N101" s="6" t="s">
        <v>394</v>
      </c>
      <c r="O101" s="6" t="s">
        <v>409</v>
      </c>
      <c r="P101" s="6" t="s">
        <v>410</v>
      </c>
      <c r="T101" s="6" t="s">
        <v>455</v>
      </c>
      <c r="U101" s="7">
        <f t="shared" si="7"/>
        <v>45695</v>
      </c>
      <c r="V101" s="6">
        <f t="shared" si="8"/>
        <v>6</v>
      </c>
      <c r="W101" s="8" t="str">
        <f t="shared" si="9"/>
        <v>16:09</v>
      </c>
      <c r="X101" s="8" t="str">
        <f t="shared" si="10"/>
        <v>19:00</v>
      </c>
      <c r="Y101" s="9">
        <f t="shared" si="11"/>
        <v>0.11874999999999991</v>
      </c>
      <c r="Z101" s="22" t="str">
        <f t="shared" si="12"/>
        <v>2025-02-07 금 (16:09~19:00) : 2시간 51분</v>
      </c>
      <c r="AA101" s="22"/>
      <c r="AB101" s="6" t="str">
        <f ca="1">_xlfn.XLOOKUP(I101, 기초데이터!$C$2:$C$305, 기초데이터!$U$2:$U$305)</f>
        <v>brhan@neurophet.com</v>
      </c>
    </row>
    <row r="102" spans="1:28" x14ac:dyDescent="0.3">
      <c r="A102" s="6">
        <f>SUBTOTAL(3,$I$2:I102)*1</f>
        <v>101</v>
      </c>
      <c r="B102" s="21" t="s">
        <v>362</v>
      </c>
      <c r="C102" s="6" t="s">
        <v>509</v>
      </c>
      <c r="D102" s="6">
        <v>1</v>
      </c>
      <c r="E102" s="6" t="s">
        <v>303</v>
      </c>
      <c r="F102" s="6">
        <v>0</v>
      </c>
      <c r="G102" s="6" t="s">
        <v>148</v>
      </c>
      <c r="H102" s="6" t="s">
        <v>30</v>
      </c>
      <c r="I102" s="6" t="s">
        <v>348</v>
      </c>
      <c r="J102" s="6" t="s">
        <v>349</v>
      </c>
      <c r="K102" s="6" t="s">
        <v>33</v>
      </c>
      <c r="L102" s="6" t="s">
        <v>34</v>
      </c>
      <c r="M102" s="6" t="s">
        <v>35</v>
      </c>
      <c r="N102" s="6" t="s">
        <v>470</v>
      </c>
      <c r="O102" s="6" t="s">
        <v>471</v>
      </c>
      <c r="P102" s="6" t="s">
        <v>472</v>
      </c>
      <c r="T102" s="6" t="s">
        <v>473</v>
      </c>
      <c r="U102" s="7">
        <f t="shared" si="7"/>
        <v>45695</v>
      </c>
      <c r="V102" s="6">
        <f t="shared" si="8"/>
        <v>6</v>
      </c>
      <c r="W102" s="8" t="str">
        <f t="shared" si="9"/>
        <v>17:20</v>
      </c>
      <c r="X102" s="8" t="str">
        <f t="shared" si="10"/>
        <v>19:28</v>
      </c>
      <c r="Y102" s="9">
        <f t="shared" si="11"/>
        <v>8.8888888888888906E-2</v>
      </c>
      <c r="Z102" s="22" t="str">
        <f t="shared" si="12"/>
        <v>2025-02-07 금 (17:20~19:28) : 2시간 8분</v>
      </c>
      <c r="AA102" s="22"/>
      <c r="AB102" s="6" t="str">
        <f ca="1">_xlfn.XLOOKUP(I102, 기초데이터!$C$2:$C$305, 기초데이터!$U$2:$U$305)</f>
        <v>cwseo@neurophet.com</v>
      </c>
    </row>
    <row r="103" spans="1:28" x14ac:dyDescent="0.3">
      <c r="A103" s="6">
        <f>SUBTOTAL(3,$I$2:I103)*1</f>
        <v>102</v>
      </c>
      <c r="B103" s="21" t="s">
        <v>362</v>
      </c>
      <c r="C103" s="6" t="s">
        <v>510</v>
      </c>
      <c r="D103" s="6">
        <v>1</v>
      </c>
      <c r="E103" s="6" t="s">
        <v>128</v>
      </c>
      <c r="F103" s="6">
        <v>0</v>
      </c>
      <c r="G103" s="6" t="s">
        <v>399</v>
      </c>
      <c r="H103" s="6" t="s">
        <v>56</v>
      </c>
      <c r="I103" s="6" t="s">
        <v>420</v>
      </c>
      <c r="J103" s="6" t="s">
        <v>421</v>
      </c>
      <c r="K103" s="6" t="s">
        <v>33</v>
      </c>
      <c r="L103" s="6" t="s">
        <v>34</v>
      </c>
      <c r="M103" s="6" t="s">
        <v>35</v>
      </c>
      <c r="N103" s="6" t="s">
        <v>450</v>
      </c>
      <c r="O103" s="6" t="s">
        <v>511</v>
      </c>
      <c r="P103" s="6" t="s">
        <v>512</v>
      </c>
      <c r="T103" s="6" t="s">
        <v>485</v>
      </c>
      <c r="U103" s="7">
        <f t="shared" si="7"/>
        <v>45695</v>
      </c>
      <c r="V103" s="6">
        <f t="shared" si="8"/>
        <v>6</v>
      </c>
      <c r="W103" s="8" t="str">
        <f t="shared" si="9"/>
        <v>18:40</v>
      </c>
      <c r="X103" s="8" t="str">
        <f t="shared" si="10"/>
        <v>20:40</v>
      </c>
      <c r="Y103" s="9">
        <f t="shared" si="11"/>
        <v>8.333333333333337E-2</v>
      </c>
      <c r="Z103" s="22" t="str">
        <f t="shared" si="12"/>
        <v>2025-02-07 금 (18:40~20:40) : 2시간</v>
      </c>
      <c r="AA103" s="22"/>
      <c r="AB103" s="6" t="str">
        <f ca="1">_xlfn.XLOOKUP(I103, 기초데이터!$C$2:$C$305, 기초데이터!$U$2:$U$305)</f>
        <v>manjae.jeon@neurophet.com</v>
      </c>
    </row>
    <row r="104" spans="1:28" x14ac:dyDescent="0.3">
      <c r="A104" s="6">
        <f>SUBTOTAL(3,$I$2:I104)*1</f>
        <v>103</v>
      </c>
      <c r="B104" s="21" t="s">
        <v>362</v>
      </c>
      <c r="C104" s="6" t="s">
        <v>513</v>
      </c>
      <c r="D104" s="6">
        <v>1</v>
      </c>
      <c r="E104" s="6" t="s">
        <v>128</v>
      </c>
      <c r="F104" s="6">
        <v>0</v>
      </c>
      <c r="G104" s="6" t="s">
        <v>29</v>
      </c>
      <c r="H104" s="6" t="s">
        <v>56</v>
      </c>
      <c r="I104" s="6" t="s">
        <v>57</v>
      </c>
      <c r="J104" s="6" t="s">
        <v>58</v>
      </c>
      <c r="K104" s="6" t="s">
        <v>33</v>
      </c>
      <c r="L104" s="6" t="s">
        <v>34</v>
      </c>
      <c r="M104" s="6" t="s">
        <v>35</v>
      </c>
      <c r="N104" s="6" t="s">
        <v>394</v>
      </c>
      <c r="O104" s="6" t="s">
        <v>514</v>
      </c>
      <c r="P104" s="6" t="s">
        <v>515</v>
      </c>
      <c r="T104" s="6" t="s">
        <v>516</v>
      </c>
      <c r="U104" s="7">
        <f t="shared" si="7"/>
        <v>45696</v>
      </c>
      <c r="V104" s="6">
        <f t="shared" si="8"/>
        <v>6</v>
      </c>
      <c r="W104" s="8" t="str">
        <f t="shared" si="9"/>
        <v>15:03</v>
      </c>
      <c r="X104" s="8" t="str">
        <f t="shared" si="10"/>
        <v>17:03</v>
      </c>
      <c r="Y104" s="9">
        <f t="shared" si="11"/>
        <v>8.333333333333337E-2</v>
      </c>
      <c r="Z104" s="22" t="str">
        <f t="shared" si="12"/>
        <v>2025-02-08 토 (15:03~17:03) : 2시간</v>
      </c>
      <c r="AA104" s="22"/>
      <c r="AB104" s="6" t="str">
        <f ca="1">_xlfn.XLOOKUP(I104, 기초데이터!$C$2:$C$305, 기초데이터!$U$2:$U$305)</f>
        <v>hsyang@neurophet.com</v>
      </c>
    </row>
    <row r="105" spans="1:28" x14ac:dyDescent="0.3">
      <c r="A105" s="6">
        <f>SUBTOTAL(3,$I$2:I105)*1</f>
        <v>104</v>
      </c>
      <c r="B105" s="21" t="s">
        <v>362</v>
      </c>
      <c r="C105" s="6" t="s">
        <v>517</v>
      </c>
      <c r="D105" s="6">
        <v>6</v>
      </c>
      <c r="E105" s="6" t="s">
        <v>518</v>
      </c>
      <c r="F105" s="6">
        <v>0</v>
      </c>
      <c r="G105" s="6" t="s">
        <v>42</v>
      </c>
      <c r="H105" s="6" t="s">
        <v>30</v>
      </c>
      <c r="I105" s="6" t="s">
        <v>43</v>
      </c>
      <c r="J105" s="6" t="s">
        <v>44</v>
      </c>
      <c r="K105" s="6" t="s">
        <v>33</v>
      </c>
      <c r="L105" s="6" t="s">
        <v>34</v>
      </c>
      <c r="M105" s="6" t="s">
        <v>35</v>
      </c>
      <c r="N105" s="6" t="s">
        <v>394</v>
      </c>
      <c r="O105" s="6" t="s">
        <v>519</v>
      </c>
      <c r="P105" s="6" t="s">
        <v>520</v>
      </c>
      <c r="T105" s="6" t="s">
        <v>521</v>
      </c>
      <c r="U105" s="7">
        <f t="shared" si="7"/>
        <v>45696</v>
      </c>
      <c r="V105" s="6">
        <f t="shared" si="8"/>
        <v>6</v>
      </c>
      <c r="W105" s="8" t="str">
        <f t="shared" si="9"/>
        <v>23:09</v>
      </c>
      <c r="X105" s="8" t="str">
        <f t="shared" si="10"/>
        <v>23:59</v>
      </c>
      <c r="Y105" s="9">
        <f t="shared" si="11"/>
        <v>3.472222222222221E-2</v>
      </c>
      <c r="Z105" s="22" t="str">
        <f t="shared" si="12"/>
        <v>2025-02-08 토 (23:09~23:59) : 0시간 50분</v>
      </c>
      <c r="AA105" s="22"/>
      <c r="AB105" s="6" t="str">
        <f ca="1">_xlfn.XLOOKUP(I105, 기초데이터!$C$2:$C$305, 기초데이터!$U$2:$U$305)</f>
        <v>jsy@neurophet.com</v>
      </c>
    </row>
    <row r="106" spans="1:28" x14ac:dyDescent="0.3">
      <c r="A106" s="6">
        <f>SUBTOTAL(3,$I$2:I106)*1</f>
        <v>105</v>
      </c>
      <c r="B106" s="21" t="s">
        <v>362</v>
      </c>
      <c r="C106" s="6" t="s">
        <v>522</v>
      </c>
      <c r="D106" s="6">
        <v>1</v>
      </c>
      <c r="E106" s="6" t="s">
        <v>523</v>
      </c>
      <c r="F106" s="6">
        <v>0</v>
      </c>
      <c r="G106" s="6" t="s">
        <v>42</v>
      </c>
      <c r="H106" s="6" t="s">
        <v>30</v>
      </c>
      <c r="I106" s="6" t="s">
        <v>43</v>
      </c>
      <c r="J106" s="6" t="s">
        <v>44</v>
      </c>
      <c r="K106" s="6" t="s">
        <v>33</v>
      </c>
      <c r="L106" s="6" t="s">
        <v>34</v>
      </c>
      <c r="M106" s="6" t="s">
        <v>35</v>
      </c>
      <c r="N106" s="6" t="s">
        <v>394</v>
      </c>
      <c r="O106" s="6" t="s">
        <v>519</v>
      </c>
      <c r="P106" s="6" t="s">
        <v>520</v>
      </c>
      <c r="T106" s="6" t="s">
        <v>521</v>
      </c>
      <c r="U106" s="7">
        <f t="shared" si="7"/>
        <v>45698</v>
      </c>
      <c r="V106" s="6">
        <f t="shared" si="8"/>
        <v>7</v>
      </c>
      <c r="W106" s="8" t="str">
        <f t="shared" si="9"/>
        <v>00:00</v>
      </c>
      <c r="X106" s="8" t="str">
        <f t="shared" si="10"/>
        <v>01:11</v>
      </c>
      <c r="Y106" s="9">
        <f t="shared" si="11"/>
        <v>4.9305555555555554E-2</v>
      </c>
      <c r="Z106" s="22" t="str">
        <f t="shared" si="12"/>
        <v>2025-02-10 월 (00:00~01:11) : 1시간 11분</v>
      </c>
      <c r="AA106" s="22"/>
      <c r="AB106" s="6" t="str">
        <f ca="1">_xlfn.XLOOKUP(I106, 기초데이터!$C$2:$C$305, 기초데이터!$U$2:$U$305)</f>
        <v>jsy@neurophet.com</v>
      </c>
    </row>
    <row r="107" spans="1:28" x14ac:dyDescent="0.3">
      <c r="A107" s="6">
        <f>SUBTOTAL(3,$I$2:I107)*1</f>
        <v>106</v>
      </c>
      <c r="B107" s="21" t="s">
        <v>362</v>
      </c>
      <c r="C107" s="6" t="s">
        <v>524</v>
      </c>
      <c r="D107" s="6">
        <v>1</v>
      </c>
      <c r="E107" s="6" t="s">
        <v>128</v>
      </c>
      <c r="F107" s="6">
        <v>0</v>
      </c>
      <c r="G107" s="6" t="s">
        <v>131</v>
      </c>
      <c r="H107" s="6" t="s">
        <v>56</v>
      </c>
      <c r="I107" s="6" t="s">
        <v>132</v>
      </c>
      <c r="J107" s="6" t="s">
        <v>133</v>
      </c>
      <c r="K107" s="6" t="s">
        <v>33</v>
      </c>
      <c r="L107" s="6" t="s">
        <v>34</v>
      </c>
      <c r="M107" s="6" t="s">
        <v>35</v>
      </c>
      <c r="N107" s="6" t="s">
        <v>394</v>
      </c>
      <c r="O107" s="6" t="s">
        <v>525</v>
      </c>
      <c r="P107" s="6" t="s">
        <v>526</v>
      </c>
      <c r="T107" s="6" t="s">
        <v>498</v>
      </c>
      <c r="U107" s="7">
        <f t="shared" si="7"/>
        <v>45698</v>
      </c>
      <c r="V107" s="6">
        <f t="shared" si="8"/>
        <v>7</v>
      </c>
      <c r="W107" s="8" t="str">
        <f t="shared" si="9"/>
        <v>17:30</v>
      </c>
      <c r="X107" s="8" t="str">
        <f t="shared" si="10"/>
        <v>19:30</v>
      </c>
      <c r="Y107" s="9">
        <f t="shared" si="11"/>
        <v>8.333333333333337E-2</v>
      </c>
      <c r="Z107" s="22" t="str">
        <f t="shared" si="12"/>
        <v>2025-02-10 월 (17:30~19:30) : 2시간</v>
      </c>
      <c r="AA107" s="22"/>
      <c r="AB107" s="6" t="str">
        <f ca="1">_xlfn.XLOOKUP(I107, 기초데이터!$C$2:$C$305, 기초데이터!$U$2:$U$305)</f>
        <v>kelly.seo@neurophet.com</v>
      </c>
    </row>
    <row r="108" spans="1:28" x14ac:dyDescent="0.3">
      <c r="A108" s="6">
        <f>SUBTOTAL(3,$I$2:I108)*1</f>
        <v>107</v>
      </c>
      <c r="B108" s="21" t="s">
        <v>362</v>
      </c>
      <c r="C108" s="6" t="s">
        <v>527</v>
      </c>
      <c r="D108" s="6">
        <v>1</v>
      </c>
      <c r="E108" s="6" t="s">
        <v>128</v>
      </c>
      <c r="F108" s="6">
        <v>0</v>
      </c>
      <c r="G108" s="6" t="s">
        <v>139</v>
      </c>
      <c r="H108" s="6" t="s">
        <v>30</v>
      </c>
      <c r="I108" s="6" t="s">
        <v>528</v>
      </c>
      <c r="J108" s="6" t="s">
        <v>529</v>
      </c>
      <c r="K108" s="6" t="s">
        <v>33</v>
      </c>
      <c r="L108" s="6" t="s">
        <v>34</v>
      </c>
      <c r="M108" s="6" t="s">
        <v>35</v>
      </c>
      <c r="N108" s="6" t="s">
        <v>470</v>
      </c>
      <c r="O108" s="6" t="s">
        <v>530</v>
      </c>
      <c r="P108" s="6" t="s">
        <v>531</v>
      </c>
      <c r="T108" s="6" t="s">
        <v>532</v>
      </c>
      <c r="U108" s="7">
        <f t="shared" si="7"/>
        <v>45698</v>
      </c>
      <c r="V108" s="6">
        <f t="shared" si="8"/>
        <v>7</v>
      </c>
      <c r="W108" s="8" t="str">
        <f t="shared" si="9"/>
        <v>18:10</v>
      </c>
      <c r="X108" s="8" t="str">
        <f t="shared" si="10"/>
        <v>20:10</v>
      </c>
      <c r="Y108" s="9">
        <f t="shared" si="11"/>
        <v>8.333333333333337E-2</v>
      </c>
      <c r="Z108" s="22" t="str">
        <f t="shared" si="12"/>
        <v>2025-02-10 월 (18:10~20:10) : 2시간</v>
      </c>
      <c r="AA108" s="22"/>
      <c r="AB108" s="6" t="str">
        <f ca="1">_xlfn.XLOOKUP(I108, 기초데이터!$C$2:$C$305, 기초데이터!$U$2:$U$305)</f>
        <v>ekcho@neurophet.com</v>
      </c>
    </row>
    <row r="109" spans="1:28" x14ac:dyDescent="0.3">
      <c r="A109" s="6">
        <f>SUBTOTAL(3,$I$2:I109)*1</f>
        <v>108</v>
      </c>
      <c r="B109" s="21" t="s">
        <v>362</v>
      </c>
      <c r="C109" s="6" t="s">
        <v>533</v>
      </c>
      <c r="D109" s="6">
        <v>1</v>
      </c>
      <c r="E109" s="6" t="s">
        <v>53</v>
      </c>
      <c r="F109" s="6">
        <v>0</v>
      </c>
      <c r="G109" s="6" t="s">
        <v>399</v>
      </c>
      <c r="H109" s="6" t="s">
        <v>30</v>
      </c>
      <c r="I109" s="6" t="s">
        <v>400</v>
      </c>
      <c r="J109" s="6" t="s">
        <v>401</v>
      </c>
      <c r="K109" s="6" t="s">
        <v>33</v>
      </c>
      <c r="L109" s="6" t="s">
        <v>34</v>
      </c>
      <c r="M109" s="6" t="s">
        <v>35</v>
      </c>
      <c r="N109" s="6" t="s">
        <v>470</v>
      </c>
      <c r="O109" s="6" t="s">
        <v>534</v>
      </c>
      <c r="P109" s="6" t="s">
        <v>535</v>
      </c>
      <c r="T109" s="6" t="s">
        <v>536</v>
      </c>
      <c r="U109" s="7">
        <f t="shared" si="7"/>
        <v>45699</v>
      </c>
      <c r="V109" s="6">
        <f t="shared" si="8"/>
        <v>7</v>
      </c>
      <c r="W109" s="8" t="str">
        <f t="shared" si="9"/>
        <v>16:00</v>
      </c>
      <c r="X109" s="8" t="str">
        <f t="shared" si="10"/>
        <v>20:00</v>
      </c>
      <c r="Y109" s="9">
        <f t="shared" si="11"/>
        <v>0.16666666666666674</v>
      </c>
      <c r="Z109" s="22" t="str">
        <f t="shared" si="12"/>
        <v>2025-02-11 화 (16:00~20:00) : 4시간</v>
      </c>
      <c r="AA109" s="22"/>
      <c r="AB109" s="6" t="str">
        <f ca="1">_xlfn.XLOOKUP(I109, 기초데이터!$C$2:$C$305, 기초데이터!$U$2:$U$305)</f>
        <v>lsr@neurophet.com</v>
      </c>
    </row>
    <row r="110" spans="1:28" x14ac:dyDescent="0.3">
      <c r="A110" s="6">
        <f>SUBTOTAL(3,$I$2:I110)*1</f>
        <v>109</v>
      </c>
      <c r="B110" s="21" t="s">
        <v>362</v>
      </c>
      <c r="C110" s="6" t="s">
        <v>537</v>
      </c>
      <c r="D110" s="6">
        <v>1</v>
      </c>
      <c r="E110" s="6" t="s">
        <v>303</v>
      </c>
      <c r="F110" s="6">
        <v>0</v>
      </c>
      <c r="G110" s="6" t="s">
        <v>148</v>
      </c>
      <c r="H110" s="6" t="s">
        <v>30</v>
      </c>
      <c r="I110" s="6" t="s">
        <v>348</v>
      </c>
      <c r="J110" s="6" t="s">
        <v>349</v>
      </c>
      <c r="K110" s="6" t="s">
        <v>33</v>
      </c>
      <c r="L110" s="6" t="s">
        <v>34</v>
      </c>
      <c r="M110" s="6" t="s">
        <v>35</v>
      </c>
      <c r="N110" s="6" t="s">
        <v>438</v>
      </c>
      <c r="O110" s="6" t="s">
        <v>538</v>
      </c>
      <c r="P110" s="6" t="s">
        <v>539</v>
      </c>
      <c r="T110" s="6" t="s">
        <v>540</v>
      </c>
      <c r="U110" s="7">
        <f t="shared" si="7"/>
        <v>45699</v>
      </c>
      <c r="V110" s="6">
        <f t="shared" si="8"/>
        <v>7</v>
      </c>
      <c r="W110" s="8" t="str">
        <f t="shared" si="9"/>
        <v>17:01</v>
      </c>
      <c r="X110" s="8" t="str">
        <f t="shared" si="10"/>
        <v>19:10</v>
      </c>
      <c r="Y110" s="9">
        <f t="shared" si="11"/>
        <v>8.9583333333333348E-2</v>
      </c>
      <c r="Z110" s="22" t="str">
        <f t="shared" si="12"/>
        <v>2025-02-11 화 (17:01~19:10) : 2시간 9분</v>
      </c>
      <c r="AA110" s="22"/>
      <c r="AB110" s="6" t="str">
        <f ca="1">_xlfn.XLOOKUP(I110, 기초데이터!$C$2:$C$305, 기초데이터!$U$2:$U$305)</f>
        <v>cwseo@neurophet.com</v>
      </c>
    </row>
    <row r="111" spans="1:28" x14ac:dyDescent="0.3">
      <c r="A111" s="6">
        <f>SUBTOTAL(3,$I$2:I111)*1</f>
        <v>110</v>
      </c>
      <c r="B111" s="21" t="s">
        <v>362</v>
      </c>
      <c r="C111" s="6" t="s">
        <v>541</v>
      </c>
      <c r="D111" s="6">
        <v>1</v>
      </c>
      <c r="E111" s="6" t="s">
        <v>303</v>
      </c>
      <c r="F111" s="6">
        <v>0</v>
      </c>
      <c r="G111" s="6" t="s">
        <v>364</v>
      </c>
      <c r="H111" s="6" t="s">
        <v>30</v>
      </c>
      <c r="I111" s="6" t="s">
        <v>365</v>
      </c>
      <c r="J111" s="6" t="s">
        <v>366</v>
      </c>
      <c r="K111" s="6" t="s">
        <v>33</v>
      </c>
      <c r="L111" s="6" t="s">
        <v>34</v>
      </c>
      <c r="M111" s="6" t="s">
        <v>35</v>
      </c>
      <c r="N111" s="6" t="s">
        <v>377</v>
      </c>
      <c r="O111" s="6" t="s">
        <v>378</v>
      </c>
      <c r="P111" s="6" t="s">
        <v>379</v>
      </c>
      <c r="T111" s="6" t="s">
        <v>380</v>
      </c>
      <c r="U111" s="7">
        <f t="shared" si="7"/>
        <v>45699</v>
      </c>
      <c r="V111" s="6">
        <f t="shared" si="8"/>
        <v>7</v>
      </c>
      <c r="W111" s="8" t="str">
        <f t="shared" si="9"/>
        <v>17:24</v>
      </c>
      <c r="X111" s="8" t="str">
        <f t="shared" si="10"/>
        <v>19:28</v>
      </c>
      <c r="Y111" s="9">
        <f t="shared" si="11"/>
        <v>8.6111111111111138E-2</v>
      </c>
      <c r="Z111" s="22" t="str">
        <f t="shared" si="12"/>
        <v>2025-02-11 화 (17:24~19:28) : 2시간 4분</v>
      </c>
      <c r="AA111" s="22"/>
      <c r="AB111" s="6" t="str">
        <f ca="1">_xlfn.XLOOKUP(I111, 기초데이터!$C$2:$C$305, 기초데이터!$U$2:$U$305)</f>
        <v>noah@neurophet.com</v>
      </c>
    </row>
    <row r="112" spans="1:28" x14ac:dyDescent="0.3">
      <c r="A112" s="6">
        <f>SUBTOTAL(3,$I$2:I112)*1</f>
        <v>111</v>
      </c>
      <c r="B112" s="21" t="s">
        <v>362</v>
      </c>
      <c r="C112" s="6" t="s">
        <v>542</v>
      </c>
      <c r="D112" s="6">
        <v>1</v>
      </c>
      <c r="E112" s="6" t="s">
        <v>128</v>
      </c>
      <c r="F112" s="6">
        <v>0</v>
      </c>
      <c r="G112" s="6" t="s">
        <v>131</v>
      </c>
      <c r="H112" s="6" t="s">
        <v>56</v>
      </c>
      <c r="I112" s="6" t="s">
        <v>132</v>
      </c>
      <c r="J112" s="6" t="s">
        <v>133</v>
      </c>
      <c r="K112" s="6" t="s">
        <v>33</v>
      </c>
      <c r="L112" s="6" t="s">
        <v>34</v>
      </c>
      <c r="M112" s="6" t="s">
        <v>35</v>
      </c>
      <c r="N112" s="6" t="s">
        <v>470</v>
      </c>
      <c r="O112" s="6" t="s">
        <v>543</v>
      </c>
      <c r="P112" s="6" t="s">
        <v>544</v>
      </c>
      <c r="T112" s="6" t="s">
        <v>545</v>
      </c>
      <c r="U112" s="7">
        <f t="shared" si="7"/>
        <v>45699</v>
      </c>
      <c r="V112" s="6">
        <f t="shared" si="8"/>
        <v>7</v>
      </c>
      <c r="W112" s="8" t="str">
        <f t="shared" si="9"/>
        <v>17:30</v>
      </c>
      <c r="X112" s="8" t="str">
        <f t="shared" si="10"/>
        <v>19:30</v>
      </c>
      <c r="Y112" s="9">
        <f t="shared" si="11"/>
        <v>8.333333333333337E-2</v>
      </c>
      <c r="Z112" s="22" t="str">
        <f t="shared" si="12"/>
        <v>2025-02-11 화 (17:30~19:30) : 2시간</v>
      </c>
      <c r="AA112" s="22"/>
      <c r="AB112" s="6" t="str">
        <f ca="1">_xlfn.XLOOKUP(I112, 기초데이터!$C$2:$C$305, 기초데이터!$U$2:$U$305)</f>
        <v>kelly.seo@neurophet.com</v>
      </c>
    </row>
    <row r="113" spans="1:28" x14ac:dyDescent="0.3">
      <c r="A113" s="6">
        <f>SUBTOTAL(3,$I$2:I113)*1</f>
        <v>112</v>
      </c>
      <c r="B113" s="21" t="s">
        <v>362</v>
      </c>
      <c r="C113" s="6" t="s">
        <v>546</v>
      </c>
      <c r="D113" s="6">
        <v>1</v>
      </c>
      <c r="E113" s="6" t="s">
        <v>205</v>
      </c>
      <c r="F113" s="6">
        <v>0</v>
      </c>
      <c r="G113" s="6" t="s">
        <v>139</v>
      </c>
      <c r="H113" s="6" t="s">
        <v>30</v>
      </c>
      <c r="I113" s="6" t="s">
        <v>547</v>
      </c>
      <c r="J113" s="6" t="s">
        <v>548</v>
      </c>
      <c r="K113" s="6" t="s">
        <v>33</v>
      </c>
      <c r="L113" s="6" t="s">
        <v>34</v>
      </c>
      <c r="M113" s="6" t="s">
        <v>35</v>
      </c>
      <c r="N113" s="6" t="s">
        <v>549</v>
      </c>
      <c r="O113" s="6" t="s">
        <v>550</v>
      </c>
      <c r="P113" s="6" t="s">
        <v>551</v>
      </c>
      <c r="T113" s="6" t="s">
        <v>552</v>
      </c>
      <c r="U113" s="7">
        <f t="shared" si="7"/>
        <v>45699</v>
      </c>
      <c r="V113" s="6">
        <f t="shared" si="8"/>
        <v>7</v>
      </c>
      <c r="W113" s="8" t="str">
        <f t="shared" si="9"/>
        <v>18:09</v>
      </c>
      <c r="X113" s="8" t="str">
        <f t="shared" si="10"/>
        <v>21:43</v>
      </c>
      <c r="Y113" s="9">
        <f t="shared" si="11"/>
        <v>0.14861111111111114</v>
      </c>
      <c r="Z113" s="22" t="str">
        <f t="shared" si="12"/>
        <v>2025-02-11 화 (18:09~21:43) : 3시간 34분</v>
      </c>
      <c r="AA113" s="22"/>
      <c r="AB113" s="6" t="str">
        <f ca="1">_xlfn.XLOOKUP(I113, 기초데이터!$C$2:$C$305, 기초데이터!$U$2:$U$305)</f>
        <v>sgkang@neurophet.com</v>
      </c>
    </row>
    <row r="114" spans="1:28" x14ac:dyDescent="0.3">
      <c r="A114" s="6">
        <f>SUBTOTAL(3,$I$2:I114)*1</f>
        <v>113</v>
      </c>
      <c r="B114" s="21" t="s">
        <v>362</v>
      </c>
      <c r="C114" s="6" t="s">
        <v>553</v>
      </c>
      <c r="D114" s="6">
        <v>1</v>
      </c>
      <c r="E114" s="6" t="s">
        <v>128</v>
      </c>
      <c r="F114" s="6">
        <v>0</v>
      </c>
      <c r="G114" s="6" t="s">
        <v>399</v>
      </c>
      <c r="H114" s="6" t="s">
        <v>56</v>
      </c>
      <c r="I114" s="6" t="s">
        <v>420</v>
      </c>
      <c r="J114" s="6" t="s">
        <v>421</v>
      </c>
      <c r="K114" s="6" t="s">
        <v>33</v>
      </c>
      <c r="L114" s="6" t="s">
        <v>34</v>
      </c>
      <c r="M114" s="6" t="s">
        <v>35</v>
      </c>
      <c r="N114" s="6" t="s">
        <v>554</v>
      </c>
      <c r="O114" s="6" t="s">
        <v>555</v>
      </c>
      <c r="P114" s="6" t="s">
        <v>556</v>
      </c>
      <c r="T114" s="6" t="s">
        <v>424</v>
      </c>
      <c r="U114" s="7">
        <f t="shared" si="7"/>
        <v>45699</v>
      </c>
      <c r="V114" s="6">
        <f t="shared" si="8"/>
        <v>7</v>
      </c>
      <c r="W114" s="8" t="str">
        <f t="shared" si="9"/>
        <v>19:15</v>
      </c>
      <c r="X114" s="8" t="str">
        <f t="shared" si="10"/>
        <v>21:15</v>
      </c>
      <c r="Y114" s="9">
        <f t="shared" si="11"/>
        <v>8.3333333333333259E-2</v>
      </c>
      <c r="Z114" s="22" t="str">
        <f t="shared" si="12"/>
        <v>2025-02-11 화 (19:15~21:15) : 2시간</v>
      </c>
      <c r="AA114" s="22"/>
      <c r="AB114" s="6" t="str">
        <f ca="1">_xlfn.XLOOKUP(I114, 기초데이터!$C$2:$C$305, 기초데이터!$U$2:$U$305)</f>
        <v>manjae.jeon@neurophet.com</v>
      </c>
    </row>
    <row r="115" spans="1:28" x14ac:dyDescent="0.3">
      <c r="A115" s="6">
        <f>SUBTOTAL(3,$I$2:I115)*1</f>
        <v>114</v>
      </c>
      <c r="B115" s="21" t="s">
        <v>362</v>
      </c>
      <c r="C115" s="6" t="s">
        <v>557</v>
      </c>
      <c r="D115" s="6">
        <v>1</v>
      </c>
      <c r="E115" s="6" t="s">
        <v>53</v>
      </c>
      <c r="F115" s="6">
        <v>0</v>
      </c>
      <c r="G115" s="6" t="s">
        <v>399</v>
      </c>
      <c r="H115" s="6" t="s">
        <v>30</v>
      </c>
      <c r="I115" s="6" t="s">
        <v>400</v>
      </c>
      <c r="J115" s="6" t="s">
        <v>401</v>
      </c>
      <c r="K115" s="6" t="s">
        <v>33</v>
      </c>
      <c r="L115" s="6" t="s">
        <v>34</v>
      </c>
      <c r="M115" s="6" t="s">
        <v>35</v>
      </c>
      <c r="N115" s="6" t="s">
        <v>554</v>
      </c>
      <c r="O115" s="6" t="s">
        <v>558</v>
      </c>
      <c r="P115" s="6" t="s">
        <v>559</v>
      </c>
      <c r="T115" s="6" t="s">
        <v>560</v>
      </c>
      <c r="U115" s="7">
        <f t="shared" si="7"/>
        <v>45700</v>
      </c>
      <c r="V115" s="6">
        <f t="shared" si="8"/>
        <v>7</v>
      </c>
      <c r="W115" s="8" t="str">
        <f t="shared" si="9"/>
        <v>16:30</v>
      </c>
      <c r="X115" s="8" t="str">
        <f t="shared" si="10"/>
        <v>20:30</v>
      </c>
      <c r="Y115" s="9">
        <f t="shared" si="11"/>
        <v>0.16666666666666663</v>
      </c>
      <c r="Z115" s="22" t="str">
        <f t="shared" si="12"/>
        <v>2025-02-12 수 (16:30~20:30) : 4시간</v>
      </c>
      <c r="AA115" s="22"/>
      <c r="AB115" s="6" t="str">
        <f ca="1">_xlfn.XLOOKUP(I115, 기초데이터!$C$2:$C$305, 기초데이터!$U$2:$U$305)</f>
        <v>lsr@neurophet.com</v>
      </c>
    </row>
    <row r="116" spans="1:28" x14ac:dyDescent="0.3">
      <c r="A116" s="6">
        <f>SUBTOTAL(3,$I$2:I116)*1</f>
        <v>115</v>
      </c>
      <c r="B116" s="21" t="s">
        <v>362</v>
      </c>
      <c r="C116" s="6" t="s">
        <v>561</v>
      </c>
      <c r="D116" s="6">
        <v>1</v>
      </c>
      <c r="E116" s="6" t="s">
        <v>128</v>
      </c>
      <c r="F116" s="6">
        <v>0</v>
      </c>
      <c r="G116" s="6" t="s">
        <v>562</v>
      </c>
      <c r="H116" s="6" t="s">
        <v>30</v>
      </c>
      <c r="I116" s="6" t="s">
        <v>563</v>
      </c>
      <c r="J116" s="6" t="s">
        <v>564</v>
      </c>
      <c r="K116" s="6" t="s">
        <v>33</v>
      </c>
      <c r="L116" s="6" t="s">
        <v>34</v>
      </c>
      <c r="M116" s="6" t="s">
        <v>35</v>
      </c>
      <c r="N116" s="6" t="s">
        <v>565</v>
      </c>
      <c r="O116" s="6" t="s">
        <v>566</v>
      </c>
      <c r="P116" s="6" t="s">
        <v>567</v>
      </c>
      <c r="T116" s="6" t="s">
        <v>568</v>
      </c>
      <c r="U116" s="7">
        <f t="shared" si="7"/>
        <v>45700</v>
      </c>
      <c r="V116" s="6">
        <f t="shared" si="8"/>
        <v>7</v>
      </c>
      <c r="W116" s="8" t="str">
        <f t="shared" si="9"/>
        <v>16:33</v>
      </c>
      <c r="X116" s="8" t="str">
        <f t="shared" si="10"/>
        <v>18:35</v>
      </c>
      <c r="Y116" s="9">
        <f t="shared" si="11"/>
        <v>8.4722222222222254E-2</v>
      </c>
      <c r="Z116" s="22" t="str">
        <f t="shared" si="12"/>
        <v>2025-02-12 수 (16:33~18:35) : 2시간 2분</v>
      </c>
      <c r="AA116" s="22"/>
      <c r="AB116" s="6" t="str">
        <f ca="1">_xlfn.XLOOKUP(I116, 기초데이터!$C$2:$C$305, 기초데이터!$U$2:$U$305)</f>
        <v>hajin@neurophet.com</v>
      </c>
    </row>
    <row r="117" spans="1:28" x14ac:dyDescent="0.3">
      <c r="A117" s="6">
        <f>SUBTOTAL(3,$I$2:I117)*1</f>
        <v>116</v>
      </c>
      <c r="B117" s="21" t="s">
        <v>362</v>
      </c>
      <c r="C117" s="6" t="s">
        <v>569</v>
      </c>
      <c r="D117" s="6">
        <v>1</v>
      </c>
      <c r="E117" s="6" t="s">
        <v>63</v>
      </c>
      <c r="F117" s="6">
        <v>0</v>
      </c>
      <c r="G117" s="6" t="s">
        <v>364</v>
      </c>
      <c r="H117" s="6" t="s">
        <v>30</v>
      </c>
      <c r="I117" s="6" t="s">
        <v>365</v>
      </c>
      <c r="J117" s="6" t="s">
        <v>366</v>
      </c>
      <c r="K117" s="6" t="s">
        <v>33</v>
      </c>
      <c r="L117" s="6" t="s">
        <v>34</v>
      </c>
      <c r="M117" s="6" t="s">
        <v>35</v>
      </c>
      <c r="N117" s="6" t="s">
        <v>377</v>
      </c>
      <c r="O117" s="6" t="s">
        <v>378</v>
      </c>
      <c r="P117" s="6" t="s">
        <v>379</v>
      </c>
      <c r="T117" s="6" t="s">
        <v>380</v>
      </c>
      <c r="U117" s="7">
        <f t="shared" si="7"/>
        <v>45700</v>
      </c>
      <c r="V117" s="6">
        <f t="shared" si="8"/>
        <v>7</v>
      </c>
      <c r="W117" s="8" t="str">
        <f t="shared" si="9"/>
        <v>17:25</v>
      </c>
      <c r="X117" s="8" t="str">
        <f t="shared" si="10"/>
        <v>20:27</v>
      </c>
      <c r="Y117" s="9">
        <f t="shared" si="11"/>
        <v>0.12638888888888888</v>
      </c>
      <c r="Z117" s="22" t="str">
        <f t="shared" si="12"/>
        <v>2025-02-12 수 (17:25~20:27) : 3시간 2분</v>
      </c>
      <c r="AA117" s="22"/>
      <c r="AB117" s="6" t="str">
        <f ca="1">_xlfn.XLOOKUP(I117, 기초데이터!$C$2:$C$305, 기초데이터!$U$2:$U$305)</f>
        <v>noah@neurophet.com</v>
      </c>
    </row>
    <row r="118" spans="1:28" x14ac:dyDescent="0.3">
      <c r="A118" s="6">
        <f>SUBTOTAL(3,$I$2:I118)*1</f>
        <v>117</v>
      </c>
      <c r="B118" s="21" t="s">
        <v>362</v>
      </c>
      <c r="C118" s="6" t="s">
        <v>570</v>
      </c>
      <c r="D118" s="6">
        <v>1</v>
      </c>
      <c r="E118" s="6" t="s">
        <v>571</v>
      </c>
      <c r="F118" s="6">
        <v>0</v>
      </c>
      <c r="G118" s="6" t="s">
        <v>148</v>
      </c>
      <c r="H118" s="6" t="s">
        <v>30</v>
      </c>
      <c r="I118" s="6" t="s">
        <v>348</v>
      </c>
      <c r="J118" s="6" t="s">
        <v>349</v>
      </c>
      <c r="K118" s="6" t="s">
        <v>33</v>
      </c>
      <c r="L118" s="6" t="s">
        <v>34</v>
      </c>
      <c r="M118" s="6" t="s">
        <v>35</v>
      </c>
      <c r="N118" s="6" t="s">
        <v>438</v>
      </c>
      <c r="O118" s="6" t="s">
        <v>538</v>
      </c>
      <c r="P118" s="6" t="s">
        <v>539</v>
      </c>
      <c r="T118" s="6" t="s">
        <v>540</v>
      </c>
      <c r="U118" s="7">
        <f t="shared" si="7"/>
        <v>45700</v>
      </c>
      <c r="V118" s="6">
        <f t="shared" si="8"/>
        <v>7</v>
      </c>
      <c r="W118" s="8" t="str">
        <f t="shared" si="9"/>
        <v>17:37</v>
      </c>
      <c r="X118" s="8" t="str">
        <f t="shared" si="10"/>
        <v>18:53</v>
      </c>
      <c r="Y118" s="9">
        <f t="shared" si="11"/>
        <v>5.2777777777777812E-2</v>
      </c>
      <c r="Z118" s="22" t="str">
        <f t="shared" si="12"/>
        <v>2025-02-12 수 (17:37~18:53) : 1시간 16분</v>
      </c>
      <c r="AA118" s="22"/>
      <c r="AB118" s="6" t="str">
        <f ca="1">_xlfn.XLOOKUP(I118, 기초데이터!$C$2:$C$305, 기초데이터!$U$2:$U$305)</f>
        <v>cwseo@neurophet.com</v>
      </c>
    </row>
    <row r="119" spans="1:28" x14ac:dyDescent="0.3">
      <c r="A119" s="6">
        <f>SUBTOTAL(3,$I$2:I119)*1</f>
        <v>118</v>
      </c>
      <c r="B119" s="21" t="s">
        <v>362</v>
      </c>
      <c r="C119" s="6" t="s">
        <v>572</v>
      </c>
      <c r="D119" s="6">
        <v>1</v>
      </c>
      <c r="E119" s="6" t="s">
        <v>53</v>
      </c>
      <c r="F119" s="6">
        <v>0</v>
      </c>
      <c r="G119" s="6" t="s">
        <v>131</v>
      </c>
      <c r="H119" s="6" t="s">
        <v>56</v>
      </c>
      <c r="I119" s="6" t="s">
        <v>132</v>
      </c>
      <c r="J119" s="6" t="s">
        <v>133</v>
      </c>
      <c r="K119" s="6" t="s">
        <v>33</v>
      </c>
      <c r="L119" s="6" t="s">
        <v>34</v>
      </c>
      <c r="M119" s="6" t="s">
        <v>35</v>
      </c>
      <c r="N119" s="6" t="s">
        <v>554</v>
      </c>
      <c r="O119" s="6" t="s">
        <v>573</v>
      </c>
      <c r="P119" s="6" t="s">
        <v>574</v>
      </c>
      <c r="T119" s="6" t="s">
        <v>575</v>
      </c>
      <c r="U119" s="7">
        <f t="shared" si="7"/>
        <v>45700</v>
      </c>
      <c r="V119" s="6">
        <f t="shared" si="8"/>
        <v>7</v>
      </c>
      <c r="W119" s="8" t="str">
        <f t="shared" si="9"/>
        <v>18:00</v>
      </c>
      <c r="X119" s="8" t="str">
        <f t="shared" si="10"/>
        <v>22:00</v>
      </c>
      <c r="Y119" s="9">
        <f t="shared" si="11"/>
        <v>0.16666666666666663</v>
      </c>
      <c r="Z119" s="22" t="str">
        <f t="shared" si="12"/>
        <v>2025-02-12 수 (18:00~22:00) : 4시간</v>
      </c>
      <c r="AA119" s="22"/>
      <c r="AB119" s="6" t="str">
        <f ca="1">_xlfn.XLOOKUP(I119, 기초데이터!$C$2:$C$305, 기초데이터!$U$2:$U$305)</f>
        <v>kelly.seo@neurophet.com</v>
      </c>
    </row>
    <row r="120" spans="1:28" x14ac:dyDescent="0.3">
      <c r="A120" s="6">
        <f>SUBTOTAL(3,$I$2:I120)*1</f>
        <v>119</v>
      </c>
      <c r="B120" s="21" t="s">
        <v>362</v>
      </c>
      <c r="C120" s="6" t="s">
        <v>576</v>
      </c>
      <c r="D120" s="6">
        <v>1</v>
      </c>
      <c r="E120" s="6" t="s">
        <v>53</v>
      </c>
      <c r="F120" s="6">
        <v>0</v>
      </c>
      <c r="G120" s="6" t="s">
        <v>399</v>
      </c>
      <c r="H120" s="6" t="s">
        <v>30</v>
      </c>
      <c r="I120" s="6" t="s">
        <v>400</v>
      </c>
      <c r="J120" s="6" t="s">
        <v>401</v>
      </c>
      <c r="K120" s="6" t="s">
        <v>33</v>
      </c>
      <c r="L120" s="6" t="s">
        <v>34</v>
      </c>
      <c r="M120" s="6" t="s">
        <v>35</v>
      </c>
      <c r="N120" s="6" t="s">
        <v>426</v>
      </c>
      <c r="O120" s="6" t="s">
        <v>577</v>
      </c>
      <c r="P120" s="6" t="s">
        <v>578</v>
      </c>
      <c r="T120" s="6" t="s">
        <v>579</v>
      </c>
      <c r="U120" s="7">
        <f t="shared" si="7"/>
        <v>45701</v>
      </c>
      <c r="V120" s="6">
        <f t="shared" si="8"/>
        <v>7</v>
      </c>
      <c r="W120" s="8" t="str">
        <f t="shared" si="9"/>
        <v>16:05</v>
      </c>
      <c r="X120" s="8" t="str">
        <f t="shared" si="10"/>
        <v>20:05</v>
      </c>
      <c r="Y120" s="9">
        <f t="shared" si="11"/>
        <v>0.16666666666666674</v>
      </c>
      <c r="Z120" s="22" t="str">
        <f t="shared" si="12"/>
        <v>2025-02-13 목 (16:05~20:05) : 4시간</v>
      </c>
      <c r="AA120" s="22"/>
      <c r="AB120" s="6" t="str">
        <f ca="1">_xlfn.XLOOKUP(I120, 기초데이터!$C$2:$C$305, 기초데이터!$U$2:$U$305)</f>
        <v>lsr@neurophet.com</v>
      </c>
    </row>
    <row r="121" spans="1:28" x14ac:dyDescent="0.3">
      <c r="A121" s="6">
        <f>SUBTOTAL(3,$I$2:I121)*1</f>
        <v>120</v>
      </c>
      <c r="B121" s="21" t="s">
        <v>362</v>
      </c>
      <c r="C121" s="6" t="s">
        <v>580</v>
      </c>
      <c r="D121" s="6">
        <v>1</v>
      </c>
      <c r="E121" s="6" t="s">
        <v>237</v>
      </c>
      <c r="F121" s="6">
        <v>0</v>
      </c>
      <c r="G121" s="6" t="s">
        <v>42</v>
      </c>
      <c r="H121" s="6" t="s">
        <v>30</v>
      </c>
      <c r="I121" s="6" t="s">
        <v>81</v>
      </c>
      <c r="J121" s="6" t="s">
        <v>82</v>
      </c>
      <c r="K121" s="6" t="s">
        <v>33</v>
      </c>
      <c r="L121" s="6" t="s">
        <v>34</v>
      </c>
      <c r="M121" s="6" t="s">
        <v>35</v>
      </c>
      <c r="N121" s="6" t="s">
        <v>426</v>
      </c>
      <c r="O121" s="6" t="s">
        <v>581</v>
      </c>
      <c r="P121" s="6" t="s">
        <v>582</v>
      </c>
      <c r="T121" s="6" t="s">
        <v>583</v>
      </c>
      <c r="U121" s="7">
        <f t="shared" si="7"/>
        <v>45701</v>
      </c>
      <c r="V121" s="6">
        <f t="shared" si="8"/>
        <v>7</v>
      </c>
      <c r="W121" s="8" t="str">
        <f t="shared" si="9"/>
        <v>16:35</v>
      </c>
      <c r="X121" s="8" t="str">
        <f t="shared" si="10"/>
        <v>18:48</v>
      </c>
      <c r="Y121" s="9">
        <f t="shared" si="11"/>
        <v>9.2361111111111116E-2</v>
      </c>
      <c r="Z121" s="22" t="str">
        <f t="shared" si="12"/>
        <v>2025-02-13 목 (16:35~18:48) : 2시간 13분</v>
      </c>
      <c r="AA121" s="22"/>
      <c r="AB121" s="6" t="str">
        <f ca="1">_xlfn.XLOOKUP(I121, 기초데이터!$C$2:$C$305, 기초데이터!$U$2:$U$305)</f>
        <v>dahyun@neurophet.com</v>
      </c>
    </row>
    <row r="122" spans="1:28" x14ac:dyDescent="0.3">
      <c r="A122" s="6">
        <f>SUBTOTAL(3,$I$2:I122)*1</f>
        <v>121</v>
      </c>
      <c r="B122" s="21" t="s">
        <v>362</v>
      </c>
      <c r="C122" s="6" t="s">
        <v>584</v>
      </c>
      <c r="D122" s="6">
        <v>1</v>
      </c>
      <c r="E122" s="6" t="s">
        <v>128</v>
      </c>
      <c r="F122" s="6">
        <v>0</v>
      </c>
      <c r="G122" s="6" t="s">
        <v>364</v>
      </c>
      <c r="H122" s="6" t="s">
        <v>30</v>
      </c>
      <c r="I122" s="6" t="s">
        <v>365</v>
      </c>
      <c r="J122" s="6" t="s">
        <v>366</v>
      </c>
      <c r="K122" s="6" t="s">
        <v>33</v>
      </c>
      <c r="L122" s="6" t="s">
        <v>34</v>
      </c>
      <c r="M122" s="6" t="s">
        <v>35</v>
      </c>
      <c r="N122" s="6" t="s">
        <v>377</v>
      </c>
      <c r="O122" s="6" t="s">
        <v>378</v>
      </c>
      <c r="P122" s="6" t="s">
        <v>379</v>
      </c>
      <c r="T122" s="6" t="s">
        <v>380</v>
      </c>
      <c r="U122" s="7">
        <f t="shared" si="7"/>
        <v>45701</v>
      </c>
      <c r="V122" s="6">
        <f t="shared" si="8"/>
        <v>7</v>
      </c>
      <c r="W122" s="8" t="str">
        <f t="shared" si="9"/>
        <v>17:24</v>
      </c>
      <c r="X122" s="8" t="str">
        <f t="shared" si="10"/>
        <v>19:25</v>
      </c>
      <c r="Y122" s="9">
        <f t="shared" si="11"/>
        <v>8.4027777777777812E-2</v>
      </c>
      <c r="Z122" s="22" t="str">
        <f t="shared" si="12"/>
        <v>2025-02-13 목 (17:24~19:25) : 2시간 1분</v>
      </c>
      <c r="AA122" s="22"/>
      <c r="AB122" s="6" t="str">
        <f ca="1">_xlfn.XLOOKUP(I122, 기초데이터!$C$2:$C$305, 기초데이터!$U$2:$U$305)</f>
        <v>noah@neurophet.com</v>
      </c>
    </row>
    <row r="123" spans="1:28" x14ac:dyDescent="0.3">
      <c r="A123" s="6">
        <f>SUBTOTAL(3,$I$2:I123)*1</f>
        <v>122</v>
      </c>
      <c r="B123" s="21" t="s">
        <v>362</v>
      </c>
      <c r="C123" s="6" t="s">
        <v>585</v>
      </c>
      <c r="D123" s="6">
        <v>1</v>
      </c>
      <c r="E123" s="6" t="s">
        <v>128</v>
      </c>
      <c r="F123" s="6">
        <v>0</v>
      </c>
      <c r="G123" s="6" t="s">
        <v>131</v>
      </c>
      <c r="H123" s="6" t="s">
        <v>56</v>
      </c>
      <c r="I123" s="6" t="s">
        <v>132</v>
      </c>
      <c r="J123" s="6" t="s">
        <v>133</v>
      </c>
      <c r="K123" s="6" t="s">
        <v>33</v>
      </c>
      <c r="L123" s="6" t="s">
        <v>34</v>
      </c>
      <c r="M123" s="6" t="s">
        <v>35</v>
      </c>
      <c r="N123" s="6" t="s">
        <v>586</v>
      </c>
      <c r="O123" s="6" t="s">
        <v>587</v>
      </c>
      <c r="P123" s="6" t="s">
        <v>588</v>
      </c>
      <c r="T123" s="6" t="s">
        <v>589</v>
      </c>
      <c r="U123" s="7">
        <f t="shared" si="7"/>
        <v>45701</v>
      </c>
      <c r="V123" s="6">
        <f t="shared" si="8"/>
        <v>7</v>
      </c>
      <c r="W123" s="8" t="str">
        <f t="shared" si="9"/>
        <v>17:30</v>
      </c>
      <c r="X123" s="8" t="str">
        <f t="shared" si="10"/>
        <v>19:30</v>
      </c>
      <c r="Y123" s="9">
        <f t="shared" si="11"/>
        <v>8.333333333333337E-2</v>
      </c>
      <c r="Z123" s="22" t="str">
        <f t="shared" si="12"/>
        <v>2025-02-13 목 (17:30~19:30) : 2시간</v>
      </c>
      <c r="AA123" s="22"/>
      <c r="AB123" s="6" t="str">
        <f ca="1">_xlfn.XLOOKUP(I123, 기초데이터!$C$2:$C$305, 기초데이터!$U$2:$U$305)</f>
        <v>kelly.seo@neurophet.com</v>
      </c>
    </row>
    <row r="124" spans="1:28" x14ac:dyDescent="0.3">
      <c r="A124" s="6">
        <f>SUBTOTAL(3,$I$2:I124)*1</f>
        <v>123</v>
      </c>
      <c r="B124" s="21" t="s">
        <v>362</v>
      </c>
      <c r="C124" s="6" t="s">
        <v>590</v>
      </c>
      <c r="D124" s="6">
        <v>1</v>
      </c>
      <c r="E124" s="6" t="s">
        <v>523</v>
      </c>
      <c r="F124" s="6">
        <v>0</v>
      </c>
      <c r="G124" s="6" t="s">
        <v>148</v>
      </c>
      <c r="H124" s="6" t="s">
        <v>30</v>
      </c>
      <c r="I124" s="6" t="s">
        <v>348</v>
      </c>
      <c r="J124" s="6" t="s">
        <v>349</v>
      </c>
      <c r="K124" s="6" t="s">
        <v>33</v>
      </c>
      <c r="L124" s="6" t="s">
        <v>34</v>
      </c>
      <c r="M124" s="6" t="s">
        <v>35</v>
      </c>
      <c r="N124" s="6" t="s">
        <v>438</v>
      </c>
      <c r="O124" s="6" t="s">
        <v>538</v>
      </c>
      <c r="P124" s="6" t="s">
        <v>539</v>
      </c>
      <c r="T124" s="6" t="s">
        <v>540</v>
      </c>
      <c r="U124" s="7">
        <f t="shared" si="7"/>
        <v>45701</v>
      </c>
      <c r="V124" s="6">
        <f t="shared" si="8"/>
        <v>7</v>
      </c>
      <c r="W124" s="8" t="str">
        <f t="shared" si="9"/>
        <v>18:10</v>
      </c>
      <c r="X124" s="8" t="str">
        <f t="shared" si="10"/>
        <v>19:21</v>
      </c>
      <c r="Y124" s="9">
        <f t="shared" si="11"/>
        <v>4.9305555555555602E-2</v>
      </c>
      <c r="Z124" s="22" t="str">
        <f t="shared" si="12"/>
        <v>2025-02-13 목 (18:10~19:21) : 1시간 11분</v>
      </c>
      <c r="AA124" s="22"/>
      <c r="AB124" s="6" t="str">
        <f ca="1">_xlfn.XLOOKUP(I124, 기초데이터!$C$2:$C$305, 기초데이터!$U$2:$U$305)</f>
        <v>cwseo@neurophet.com</v>
      </c>
    </row>
    <row r="125" spans="1:28" x14ac:dyDescent="0.3">
      <c r="A125" s="6">
        <f>SUBTOTAL(3,$I$2:I125)*1</f>
        <v>124</v>
      </c>
      <c r="B125" s="21" t="s">
        <v>362</v>
      </c>
      <c r="C125" s="6" t="s">
        <v>591</v>
      </c>
      <c r="D125" s="6">
        <v>1</v>
      </c>
      <c r="E125" s="6" t="s">
        <v>592</v>
      </c>
      <c r="F125" s="6">
        <v>0</v>
      </c>
      <c r="G125" s="6" t="s">
        <v>268</v>
      </c>
      <c r="H125" s="6" t="s">
        <v>30</v>
      </c>
      <c r="I125" s="6" t="s">
        <v>269</v>
      </c>
      <c r="J125" s="6" t="s">
        <v>270</v>
      </c>
      <c r="K125" s="6" t="s">
        <v>33</v>
      </c>
      <c r="L125" s="6" t="s">
        <v>34</v>
      </c>
      <c r="M125" s="6" t="s">
        <v>35</v>
      </c>
      <c r="N125" s="6" t="s">
        <v>549</v>
      </c>
      <c r="O125" s="6" t="s">
        <v>593</v>
      </c>
      <c r="P125" s="6" t="s">
        <v>594</v>
      </c>
      <c r="T125" s="6" t="s">
        <v>595</v>
      </c>
      <c r="U125" s="7">
        <f t="shared" si="7"/>
        <v>45701</v>
      </c>
      <c r="V125" s="6">
        <f t="shared" si="8"/>
        <v>7</v>
      </c>
      <c r="W125" s="8" t="str">
        <f t="shared" si="9"/>
        <v>18:21</v>
      </c>
      <c r="X125" s="8" t="str">
        <f t="shared" si="10"/>
        <v>22:06</v>
      </c>
      <c r="Y125" s="9">
        <f t="shared" si="11"/>
        <v>0.15625</v>
      </c>
      <c r="Z125" s="22" t="str">
        <f t="shared" si="12"/>
        <v>2025-02-13 목 (18:21~22:06) : 3시간 45분</v>
      </c>
      <c r="AA125" s="22"/>
      <c r="AB125" s="6" t="str">
        <f ca="1">_xlfn.XLOOKUP(I125, 기초데이터!$C$2:$C$305, 기초데이터!$U$2:$U$305)</f>
        <v>hyesin.lee@neurophet.com</v>
      </c>
    </row>
    <row r="126" spans="1:28" x14ac:dyDescent="0.3">
      <c r="A126" s="6">
        <f>SUBTOTAL(3,$I$2:I126)*1</f>
        <v>125</v>
      </c>
      <c r="B126" s="21" t="s">
        <v>362</v>
      </c>
      <c r="C126" s="6" t="s">
        <v>596</v>
      </c>
      <c r="D126" s="6">
        <v>1</v>
      </c>
      <c r="E126" s="6" t="s">
        <v>128</v>
      </c>
      <c r="F126" s="6">
        <v>0</v>
      </c>
      <c r="G126" s="6" t="s">
        <v>268</v>
      </c>
      <c r="H126" s="6" t="s">
        <v>30</v>
      </c>
      <c r="I126" s="6" t="s">
        <v>269</v>
      </c>
      <c r="J126" s="6" t="s">
        <v>270</v>
      </c>
      <c r="K126" s="6" t="s">
        <v>33</v>
      </c>
      <c r="L126" s="6" t="s">
        <v>34</v>
      </c>
      <c r="M126" s="6" t="s">
        <v>35</v>
      </c>
      <c r="N126" s="6" t="s">
        <v>549</v>
      </c>
      <c r="O126" s="6" t="s">
        <v>597</v>
      </c>
      <c r="P126" s="6" t="s">
        <v>598</v>
      </c>
      <c r="T126" s="6" t="s">
        <v>599</v>
      </c>
      <c r="U126" s="7">
        <f t="shared" si="7"/>
        <v>45702</v>
      </c>
      <c r="V126" s="6">
        <f t="shared" si="8"/>
        <v>7</v>
      </c>
      <c r="W126" s="8" t="str">
        <f t="shared" si="9"/>
        <v>00:30</v>
      </c>
      <c r="X126" s="8" t="str">
        <f t="shared" si="10"/>
        <v>02:30</v>
      </c>
      <c r="Y126" s="9">
        <f t="shared" si="11"/>
        <v>8.3333333333333343E-2</v>
      </c>
      <c r="Z126" s="22" t="str">
        <f t="shared" si="12"/>
        <v>2025-02-14 금 (00:30~02:30) : 2시간</v>
      </c>
      <c r="AA126" s="22"/>
      <c r="AB126" s="6" t="str">
        <f ca="1">_xlfn.XLOOKUP(I126, 기초데이터!$C$2:$C$305, 기초데이터!$U$2:$U$305)</f>
        <v>hyesin.lee@neurophet.com</v>
      </c>
    </row>
    <row r="127" spans="1:28" x14ac:dyDescent="0.3">
      <c r="A127" s="6">
        <f>SUBTOTAL(3,$I$2:I127)*1</f>
        <v>126</v>
      </c>
      <c r="B127" s="21" t="s">
        <v>362</v>
      </c>
      <c r="C127" s="6" t="s">
        <v>600</v>
      </c>
      <c r="D127" s="6">
        <v>1</v>
      </c>
      <c r="E127" s="6" t="s">
        <v>128</v>
      </c>
      <c r="F127" s="6">
        <v>0</v>
      </c>
      <c r="G127" s="6" t="s">
        <v>131</v>
      </c>
      <c r="H127" s="6" t="s">
        <v>56</v>
      </c>
      <c r="I127" s="6" t="s">
        <v>132</v>
      </c>
      <c r="J127" s="6" t="s">
        <v>133</v>
      </c>
      <c r="K127" s="6" t="s">
        <v>33</v>
      </c>
      <c r="L127" s="6" t="s">
        <v>34</v>
      </c>
      <c r="M127" s="6" t="s">
        <v>35</v>
      </c>
      <c r="N127" s="6" t="s">
        <v>367</v>
      </c>
      <c r="O127" s="6" t="s">
        <v>601</v>
      </c>
      <c r="P127" s="6" t="s">
        <v>602</v>
      </c>
      <c r="T127" s="6" t="s">
        <v>603</v>
      </c>
      <c r="U127" s="7">
        <f t="shared" si="7"/>
        <v>45702</v>
      </c>
      <c r="V127" s="6">
        <f t="shared" si="8"/>
        <v>7</v>
      </c>
      <c r="W127" s="8" t="str">
        <f t="shared" si="9"/>
        <v>17:30</v>
      </c>
      <c r="X127" s="8" t="str">
        <f t="shared" si="10"/>
        <v>19:30</v>
      </c>
      <c r="Y127" s="9">
        <f t="shared" si="11"/>
        <v>8.333333333333337E-2</v>
      </c>
      <c r="Z127" s="22" t="str">
        <f t="shared" si="12"/>
        <v>2025-02-14 금 (17:30~19:30) : 2시간</v>
      </c>
      <c r="AA127" s="22"/>
      <c r="AB127" s="6" t="str">
        <f ca="1">_xlfn.XLOOKUP(I127, 기초데이터!$C$2:$C$305, 기초데이터!$U$2:$U$305)</f>
        <v>kelly.seo@neurophet.com</v>
      </c>
    </row>
    <row r="128" spans="1:28" x14ac:dyDescent="0.3">
      <c r="A128" s="6">
        <f>SUBTOTAL(3,$I$2:I128)*1</f>
        <v>127</v>
      </c>
      <c r="B128" s="21" t="s">
        <v>362</v>
      </c>
      <c r="C128" s="6" t="s">
        <v>604</v>
      </c>
      <c r="D128" s="6">
        <v>1</v>
      </c>
      <c r="E128" s="6" t="s">
        <v>118</v>
      </c>
      <c r="F128" s="6">
        <v>0</v>
      </c>
      <c r="G128" s="6" t="s">
        <v>42</v>
      </c>
      <c r="H128" s="6" t="s">
        <v>30</v>
      </c>
      <c r="I128" s="6" t="s">
        <v>43</v>
      </c>
      <c r="J128" s="6" t="s">
        <v>44</v>
      </c>
      <c r="K128" s="6" t="s">
        <v>33</v>
      </c>
      <c r="L128" s="6" t="s">
        <v>34</v>
      </c>
      <c r="M128" s="6" t="s">
        <v>35</v>
      </c>
      <c r="N128" s="6" t="s">
        <v>438</v>
      </c>
      <c r="O128" s="6" t="s">
        <v>605</v>
      </c>
      <c r="P128" s="6" t="s">
        <v>606</v>
      </c>
      <c r="T128" s="6" t="s">
        <v>607</v>
      </c>
      <c r="U128" s="7">
        <f t="shared" si="7"/>
        <v>45702</v>
      </c>
      <c r="V128" s="6">
        <f t="shared" si="8"/>
        <v>7</v>
      </c>
      <c r="W128" s="8" t="str">
        <f t="shared" si="9"/>
        <v>22:59</v>
      </c>
      <c r="X128" s="8" t="str">
        <f t="shared" si="10"/>
        <v>23:59</v>
      </c>
      <c r="Y128" s="9">
        <f t="shared" si="11"/>
        <v>4.166666666666663E-2</v>
      </c>
      <c r="Z128" s="22" t="str">
        <f t="shared" si="12"/>
        <v>2025-02-14 금 (22:59~23:59) : 1시간</v>
      </c>
      <c r="AA128" s="22"/>
      <c r="AB128" s="6" t="str">
        <f ca="1">_xlfn.XLOOKUP(I128, 기초데이터!$C$2:$C$305, 기초데이터!$U$2:$U$305)</f>
        <v>jsy@neurophet.com</v>
      </c>
    </row>
    <row r="129" spans="1:28" x14ac:dyDescent="0.3">
      <c r="A129" s="6">
        <f>SUBTOTAL(3,$I$2:I129)*1</f>
        <v>128</v>
      </c>
      <c r="B129" s="21" t="s">
        <v>362</v>
      </c>
      <c r="C129" s="6" t="s">
        <v>608</v>
      </c>
      <c r="D129" s="6">
        <v>1</v>
      </c>
      <c r="E129" s="6" t="s">
        <v>347</v>
      </c>
      <c r="F129" s="6">
        <v>0</v>
      </c>
      <c r="G129" s="6" t="s">
        <v>42</v>
      </c>
      <c r="H129" s="6" t="s">
        <v>30</v>
      </c>
      <c r="I129" s="6" t="s">
        <v>43</v>
      </c>
      <c r="J129" s="6" t="s">
        <v>44</v>
      </c>
      <c r="K129" s="6" t="s">
        <v>33</v>
      </c>
      <c r="L129" s="6" t="s">
        <v>34</v>
      </c>
      <c r="M129" s="6" t="s">
        <v>35</v>
      </c>
      <c r="N129" s="6" t="s">
        <v>438</v>
      </c>
      <c r="O129" s="6" t="s">
        <v>605</v>
      </c>
      <c r="P129" s="6" t="s">
        <v>606</v>
      </c>
      <c r="T129" s="6" t="s">
        <v>607</v>
      </c>
      <c r="U129" s="7">
        <f t="shared" si="7"/>
        <v>45703</v>
      </c>
      <c r="V129" s="6">
        <f t="shared" si="8"/>
        <v>7</v>
      </c>
      <c r="W129" s="8" t="str">
        <f t="shared" si="9"/>
        <v>00:00</v>
      </c>
      <c r="X129" s="8" t="str">
        <f t="shared" si="10"/>
        <v>01:38</v>
      </c>
      <c r="Y129" s="9">
        <f t="shared" si="11"/>
        <v>6.805555555555555E-2</v>
      </c>
      <c r="Z129" s="22" t="str">
        <f t="shared" si="12"/>
        <v>2025-02-15 토 (00:00~01:38) : 1시간 38분</v>
      </c>
      <c r="AA129" s="22"/>
      <c r="AB129" s="6" t="str">
        <f ca="1">_xlfn.XLOOKUP(I129, 기초데이터!$C$2:$C$305, 기초데이터!$U$2:$U$305)</f>
        <v>jsy@neurophet.com</v>
      </c>
    </row>
    <row r="130" spans="1:28" x14ac:dyDescent="0.3">
      <c r="A130" s="6">
        <f>SUBTOTAL(3,$I$2:I130)*1</f>
        <v>129</v>
      </c>
      <c r="B130" s="21" t="s">
        <v>362</v>
      </c>
      <c r="C130" s="6" t="s">
        <v>609</v>
      </c>
      <c r="D130" s="6">
        <v>1</v>
      </c>
      <c r="E130" s="6" t="s">
        <v>610</v>
      </c>
      <c r="F130" s="6">
        <v>0</v>
      </c>
      <c r="G130" s="6" t="s">
        <v>29</v>
      </c>
      <c r="H130" s="6" t="s">
        <v>30</v>
      </c>
      <c r="I130" s="6" t="s">
        <v>31</v>
      </c>
      <c r="J130" s="6" t="s">
        <v>32</v>
      </c>
      <c r="K130" s="6" t="s">
        <v>33</v>
      </c>
      <c r="L130" s="6" t="s">
        <v>34</v>
      </c>
      <c r="M130" s="6" t="s">
        <v>35</v>
      </c>
      <c r="N130" s="6" t="s">
        <v>438</v>
      </c>
      <c r="O130" s="6" t="s">
        <v>611</v>
      </c>
      <c r="P130" s="6" t="s">
        <v>612</v>
      </c>
      <c r="T130" s="6" t="s">
        <v>613</v>
      </c>
      <c r="U130" s="7">
        <f t="shared" ref="U130:U193" si="13">DATEVALUE(LEFT(C130,10))</f>
        <v>45703</v>
      </c>
      <c r="V130" s="6">
        <f t="shared" ref="V130:V193" si="14">WEEKNUM(U130,21)</f>
        <v>7</v>
      </c>
      <c r="W130" s="8" t="str">
        <f t="shared" ref="W130:W193" si="15">MID(C130,12,5)</f>
        <v>07:45</v>
      </c>
      <c r="X130" s="8" t="str">
        <f t="shared" ref="X130:X193" si="16">MID(C130,32,5)</f>
        <v>11:15</v>
      </c>
      <c r="Y130" s="9">
        <f t="shared" ref="Y130:Y193" si="17">X130-W130</f>
        <v>0.14583333333333331</v>
      </c>
      <c r="Z130" s="22" t="str">
        <f t="shared" si="12"/>
        <v>2025-02-15 토 (07:45~11:15) : 3시간 30분</v>
      </c>
      <c r="AA130" s="22"/>
      <c r="AB130" s="6" t="str">
        <f ca="1">_xlfn.XLOOKUP(I130, 기초데이터!$C$2:$C$305, 기초데이터!$U$2:$U$305)</f>
        <v>kgy@neurophet.com</v>
      </c>
    </row>
    <row r="131" spans="1:28" x14ac:dyDescent="0.3">
      <c r="A131" s="6">
        <f>SUBTOTAL(3,$I$2:I131)*1</f>
        <v>130</v>
      </c>
      <c r="B131" s="21" t="s">
        <v>362</v>
      </c>
      <c r="C131" s="6" t="s">
        <v>614</v>
      </c>
      <c r="D131" s="6">
        <v>1</v>
      </c>
      <c r="E131" s="6" t="s">
        <v>615</v>
      </c>
      <c r="F131" s="6">
        <v>0</v>
      </c>
      <c r="G131" s="6" t="s">
        <v>399</v>
      </c>
      <c r="H131" s="6" t="s">
        <v>56</v>
      </c>
      <c r="I131" s="6" t="s">
        <v>420</v>
      </c>
      <c r="J131" s="6" t="s">
        <v>421</v>
      </c>
      <c r="K131" s="6" t="s">
        <v>33</v>
      </c>
      <c r="L131" s="6" t="s">
        <v>34</v>
      </c>
      <c r="M131" s="6" t="s">
        <v>35</v>
      </c>
      <c r="N131" s="6" t="s">
        <v>438</v>
      </c>
      <c r="O131" s="6" t="s">
        <v>616</v>
      </c>
      <c r="P131" s="6" t="s">
        <v>617</v>
      </c>
      <c r="T131" s="6" t="s">
        <v>485</v>
      </c>
      <c r="U131" s="7">
        <f t="shared" si="13"/>
        <v>45703</v>
      </c>
      <c r="V131" s="6">
        <f t="shared" si="14"/>
        <v>7</v>
      </c>
      <c r="W131" s="8" t="str">
        <f t="shared" si="15"/>
        <v>10:34</v>
      </c>
      <c r="X131" s="8" t="str">
        <f t="shared" si="16"/>
        <v>16:34</v>
      </c>
      <c r="Y131" s="9">
        <f t="shared" si="17"/>
        <v>0.25</v>
      </c>
      <c r="Z131" s="22" t="str">
        <f t="shared" ref="Z131:Z194" si="18">TEXT(U131, "YYYY-MM-DD aaa")&amp;" ("&amp;TEXT(W131, "hh:mm")&amp;"~"&amp;TEXT(X131, "hh:mm")&amp;") : "&amp;IF(MINUTE(Y131)=0, TEXT(Y131, "h시간"), TEXT(Y131, "h시간 m분"))</f>
        <v>2025-02-15 토 (10:34~16:34) : 6시간</v>
      </c>
      <c r="AA131" s="22"/>
      <c r="AB131" s="6" t="str">
        <f ca="1">_xlfn.XLOOKUP(I131, 기초데이터!$C$2:$C$305, 기초데이터!$U$2:$U$305)</f>
        <v>manjae.jeon@neurophet.com</v>
      </c>
    </row>
    <row r="132" spans="1:28" x14ac:dyDescent="0.3">
      <c r="A132" s="6">
        <f>SUBTOTAL(3,$I$2:I132)*1</f>
        <v>131</v>
      </c>
      <c r="B132" s="21" t="s">
        <v>362</v>
      </c>
      <c r="C132" s="6" t="s">
        <v>618</v>
      </c>
      <c r="D132" s="6">
        <v>1</v>
      </c>
      <c r="E132" s="6" t="s">
        <v>237</v>
      </c>
      <c r="F132" s="6">
        <v>0</v>
      </c>
      <c r="G132" s="6" t="s">
        <v>29</v>
      </c>
      <c r="H132" s="6" t="s">
        <v>56</v>
      </c>
      <c r="I132" s="6" t="s">
        <v>57</v>
      </c>
      <c r="J132" s="6" t="s">
        <v>58</v>
      </c>
      <c r="K132" s="6" t="s">
        <v>33</v>
      </c>
      <c r="L132" s="6" t="s">
        <v>34</v>
      </c>
      <c r="M132" s="6" t="s">
        <v>35</v>
      </c>
      <c r="N132" s="6" t="s">
        <v>438</v>
      </c>
      <c r="O132" s="6" t="s">
        <v>619</v>
      </c>
      <c r="P132" s="6" t="s">
        <v>620</v>
      </c>
      <c r="T132" s="6" t="s">
        <v>621</v>
      </c>
      <c r="U132" s="7">
        <f t="shared" si="13"/>
        <v>45703</v>
      </c>
      <c r="V132" s="6">
        <f t="shared" si="14"/>
        <v>7</v>
      </c>
      <c r="W132" s="8" t="str">
        <f t="shared" si="15"/>
        <v>10:40</v>
      </c>
      <c r="X132" s="8" t="str">
        <f t="shared" si="16"/>
        <v>12:50</v>
      </c>
      <c r="Y132" s="9">
        <f t="shared" si="17"/>
        <v>9.027777777777779E-2</v>
      </c>
      <c r="Z132" s="22" t="str">
        <f t="shared" si="18"/>
        <v>2025-02-15 토 (10:40~12:50) : 2시간 10분</v>
      </c>
      <c r="AA132" s="22"/>
      <c r="AB132" s="6" t="str">
        <f ca="1">_xlfn.XLOOKUP(I132, 기초데이터!$C$2:$C$305, 기초데이터!$U$2:$U$305)</f>
        <v>hsyang@neurophet.com</v>
      </c>
    </row>
    <row r="133" spans="1:28" x14ac:dyDescent="0.3">
      <c r="A133" s="6">
        <f>SUBTOTAL(3,$I$2:I133)*1</f>
        <v>132</v>
      </c>
      <c r="B133" s="21" t="s">
        <v>362</v>
      </c>
      <c r="C133" s="6" t="s">
        <v>622</v>
      </c>
      <c r="D133" s="6">
        <v>1</v>
      </c>
      <c r="E133" s="6" t="s">
        <v>623</v>
      </c>
      <c r="F133" s="6">
        <v>0</v>
      </c>
      <c r="G133" s="6" t="s">
        <v>29</v>
      </c>
      <c r="H133" s="6" t="s">
        <v>30</v>
      </c>
      <c r="I133" s="6" t="s">
        <v>64</v>
      </c>
      <c r="J133" s="6" t="s">
        <v>65</v>
      </c>
      <c r="K133" s="6" t="s">
        <v>33</v>
      </c>
      <c r="L133" s="6" t="s">
        <v>34</v>
      </c>
      <c r="M133" s="6" t="s">
        <v>35</v>
      </c>
      <c r="N133" s="6" t="s">
        <v>438</v>
      </c>
      <c r="O133" s="6" t="s">
        <v>624</v>
      </c>
      <c r="P133" s="6" t="s">
        <v>625</v>
      </c>
      <c r="T133" s="6" t="s">
        <v>626</v>
      </c>
      <c r="U133" s="7">
        <f t="shared" si="13"/>
        <v>45703</v>
      </c>
      <c r="V133" s="6">
        <f t="shared" si="14"/>
        <v>7</v>
      </c>
      <c r="W133" s="8" t="str">
        <f t="shared" si="15"/>
        <v>10:40</v>
      </c>
      <c r="X133" s="8" t="str">
        <f t="shared" si="16"/>
        <v>14:50</v>
      </c>
      <c r="Y133" s="9">
        <f t="shared" si="17"/>
        <v>0.17361111111111116</v>
      </c>
      <c r="Z133" s="22" t="str">
        <f t="shared" si="18"/>
        <v>2025-02-15 토 (10:40~14:50) : 4시간 10분</v>
      </c>
      <c r="AA133" s="22"/>
      <c r="AB133" s="6" t="str">
        <f ca="1">_xlfn.XLOOKUP(I133, 기초데이터!$C$2:$C$305, 기초데이터!$U$2:$U$305)</f>
        <v>doyeon@neurophet.com</v>
      </c>
    </row>
    <row r="134" spans="1:28" x14ac:dyDescent="0.3">
      <c r="A134" s="6">
        <f>SUBTOTAL(3,$I$2:I134)*1</f>
        <v>133</v>
      </c>
      <c r="B134" s="21" t="s">
        <v>362</v>
      </c>
      <c r="C134" s="6" t="s">
        <v>627</v>
      </c>
      <c r="D134" s="6">
        <v>1</v>
      </c>
      <c r="E134" s="6" t="s">
        <v>628</v>
      </c>
      <c r="F134" s="6">
        <v>0</v>
      </c>
      <c r="G134" s="6" t="s">
        <v>42</v>
      </c>
      <c r="H134" s="6" t="s">
        <v>56</v>
      </c>
      <c r="I134" s="6" t="s">
        <v>94</v>
      </c>
      <c r="J134" s="6" t="s">
        <v>95</v>
      </c>
      <c r="K134" s="6" t="s">
        <v>33</v>
      </c>
      <c r="L134" s="6" t="s">
        <v>34</v>
      </c>
      <c r="M134" s="6" t="s">
        <v>35</v>
      </c>
      <c r="N134" s="6" t="s">
        <v>438</v>
      </c>
      <c r="O134" s="6" t="s">
        <v>629</v>
      </c>
      <c r="P134" s="6" t="s">
        <v>630</v>
      </c>
      <c r="T134" s="6" t="s">
        <v>631</v>
      </c>
      <c r="U134" s="7">
        <f t="shared" si="13"/>
        <v>45703</v>
      </c>
      <c r="V134" s="6">
        <f t="shared" si="14"/>
        <v>7</v>
      </c>
      <c r="W134" s="8" t="str">
        <f t="shared" si="15"/>
        <v>18:38</v>
      </c>
      <c r="X134" s="8" t="str">
        <f t="shared" si="16"/>
        <v>22:04</v>
      </c>
      <c r="Y134" s="9">
        <f t="shared" si="17"/>
        <v>0.14305555555555549</v>
      </c>
      <c r="Z134" s="22" t="str">
        <f t="shared" si="18"/>
        <v>2025-02-15 토 (18:38~22:04) : 3시간 26분</v>
      </c>
      <c r="AA134" s="22"/>
      <c r="AB134" s="6" t="str">
        <f ca="1">_xlfn.XLOOKUP(I134, 기초데이터!$C$2:$C$305, 기초데이터!$U$2:$U$305)</f>
        <v>clarence@neurophet.com</v>
      </c>
    </row>
    <row r="135" spans="1:28" x14ac:dyDescent="0.3">
      <c r="A135" s="6">
        <f>SUBTOTAL(3,$I$2:I135)*1</f>
        <v>134</v>
      </c>
      <c r="B135" s="21" t="s">
        <v>362</v>
      </c>
      <c r="C135" s="6" t="s">
        <v>632</v>
      </c>
      <c r="D135" s="6">
        <v>1</v>
      </c>
      <c r="E135" s="6" t="s">
        <v>303</v>
      </c>
      <c r="F135" s="6">
        <v>0</v>
      </c>
      <c r="G135" s="6" t="s">
        <v>42</v>
      </c>
      <c r="H135" s="6" t="s">
        <v>30</v>
      </c>
      <c r="I135" s="6" t="s">
        <v>43</v>
      </c>
      <c r="J135" s="6" t="s">
        <v>44</v>
      </c>
      <c r="K135" s="6" t="s">
        <v>33</v>
      </c>
      <c r="L135" s="6" t="s">
        <v>34</v>
      </c>
      <c r="M135" s="6" t="s">
        <v>35</v>
      </c>
      <c r="N135" s="6" t="s">
        <v>438</v>
      </c>
      <c r="O135" s="6" t="s">
        <v>605</v>
      </c>
      <c r="P135" s="6" t="s">
        <v>606</v>
      </c>
      <c r="T135" s="6" t="s">
        <v>607</v>
      </c>
      <c r="U135" s="7">
        <f t="shared" si="13"/>
        <v>45703</v>
      </c>
      <c r="V135" s="6">
        <f t="shared" si="14"/>
        <v>7</v>
      </c>
      <c r="W135" s="8" t="str">
        <f t="shared" si="15"/>
        <v>21:54</v>
      </c>
      <c r="X135" s="8" t="str">
        <f t="shared" si="16"/>
        <v>23:59</v>
      </c>
      <c r="Y135" s="9">
        <f t="shared" si="17"/>
        <v>8.680555555555558E-2</v>
      </c>
      <c r="Z135" s="22" t="str">
        <f t="shared" si="18"/>
        <v>2025-02-15 토 (21:54~23:59) : 2시간 5분</v>
      </c>
      <c r="AA135" s="22"/>
      <c r="AB135" s="6" t="str">
        <f ca="1">_xlfn.XLOOKUP(I135, 기초데이터!$C$2:$C$305, 기초데이터!$U$2:$U$305)</f>
        <v>jsy@neurophet.com</v>
      </c>
    </row>
    <row r="136" spans="1:28" x14ac:dyDescent="0.3">
      <c r="A136" s="6">
        <f>SUBTOTAL(3,$I$2:I136)*1</f>
        <v>135</v>
      </c>
      <c r="B136" s="21" t="s">
        <v>362</v>
      </c>
      <c r="C136" s="6" t="s">
        <v>633</v>
      </c>
      <c r="D136" s="6">
        <v>2</v>
      </c>
      <c r="E136" s="6" t="s">
        <v>634</v>
      </c>
      <c r="F136" s="6">
        <v>0</v>
      </c>
      <c r="G136" s="6" t="s">
        <v>42</v>
      </c>
      <c r="H136" s="6" t="s">
        <v>30</v>
      </c>
      <c r="I136" s="6" t="s">
        <v>43</v>
      </c>
      <c r="J136" s="6" t="s">
        <v>44</v>
      </c>
      <c r="K136" s="6" t="s">
        <v>33</v>
      </c>
      <c r="L136" s="6" t="s">
        <v>34</v>
      </c>
      <c r="M136" s="6" t="s">
        <v>35</v>
      </c>
      <c r="N136" s="6" t="s">
        <v>438</v>
      </c>
      <c r="O136" s="6" t="s">
        <v>605</v>
      </c>
      <c r="P136" s="6" t="s">
        <v>606</v>
      </c>
      <c r="T136" s="6" t="s">
        <v>607</v>
      </c>
      <c r="U136" s="7">
        <f t="shared" si="13"/>
        <v>45704</v>
      </c>
      <c r="V136" s="6">
        <f t="shared" si="14"/>
        <v>7</v>
      </c>
      <c r="W136" s="8" t="str">
        <f t="shared" si="15"/>
        <v>00:00</v>
      </c>
      <c r="X136" s="8" t="str">
        <f t="shared" si="16"/>
        <v>00:16</v>
      </c>
      <c r="Y136" s="9">
        <f t="shared" si="17"/>
        <v>1.1111111111111112E-2</v>
      </c>
      <c r="Z136" s="22" t="str">
        <f t="shared" si="18"/>
        <v>2025-02-16 일 (00:00~00:16) : 0시간 16분</v>
      </c>
      <c r="AA136" s="22"/>
      <c r="AB136" s="6" t="str">
        <f ca="1">_xlfn.XLOOKUP(I136, 기초데이터!$C$2:$C$305, 기초데이터!$U$2:$U$305)</f>
        <v>jsy@neurophet.com</v>
      </c>
    </row>
    <row r="137" spans="1:28" x14ac:dyDescent="0.3">
      <c r="A137" s="6">
        <f>SUBTOTAL(3,$I$2:I137)*1</f>
        <v>136</v>
      </c>
      <c r="B137" s="21" t="s">
        <v>362</v>
      </c>
      <c r="C137" s="6" t="s">
        <v>635</v>
      </c>
      <c r="D137" s="6">
        <v>1</v>
      </c>
      <c r="E137" s="6" t="s">
        <v>128</v>
      </c>
      <c r="F137" s="6">
        <v>0</v>
      </c>
      <c r="G137" s="6" t="s">
        <v>42</v>
      </c>
      <c r="H137" s="6" t="s">
        <v>30</v>
      </c>
      <c r="I137" s="6" t="s">
        <v>43</v>
      </c>
      <c r="J137" s="6" t="s">
        <v>44</v>
      </c>
      <c r="K137" s="6" t="s">
        <v>33</v>
      </c>
      <c r="L137" s="6" t="s">
        <v>34</v>
      </c>
      <c r="M137" s="6" t="s">
        <v>35</v>
      </c>
      <c r="N137" s="6" t="s">
        <v>438</v>
      </c>
      <c r="O137" s="6" t="s">
        <v>605</v>
      </c>
      <c r="P137" s="6" t="s">
        <v>606</v>
      </c>
      <c r="T137" s="6" t="s">
        <v>636</v>
      </c>
      <c r="U137" s="7">
        <f t="shared" si="13"/>
        <v>45704</v>
      </c>
      <c r="V137" s="6">
        <f t="shared" si="14"/>
        <v>7</v>
      </c>
      <c r="W137" s="8" t="str">
        <f t="shared" si="15"/>
        <v>08:09</v>
      </c>
      <c r="X137" s="8" t="str">
        <f t="shared" si="16"/>
        <v>10:11</v>
      </c>
      <c r="Y137" s="9">
        <f t="shared" si="17"/>
        <v>8.4722222222222199E-2</v>
      </c>
      <c r="Z137" s="22" t="str">
        <f t="shared" si="18"/>
        <v>2025-02-16 일 (08:09~10:11) : 2시간 2분</v>
      </c>
      <c r="AA137" s="22"/>
      <c r="AB137" s="6" t="str">
        <f ca="1">_xlfn.XLOOKUP(I137, 기초데이터!$C$2:$C$305, 기초데이터!$U$2:$U$305)</f>
        <v>jsy@neurophet.com</v>
      </c>
    </row>
    <row r="138" spans="1:28" x14ac:dyDescent="0.3">
      <c r="A138" s="6">
        <f>SUBTOTAL(3,$I$2:I138)*1</f>
        <v>137</v>
      </c>
      <c r="B138" s="21" t="s">
        <v>362</v>
      </c>
      <c r="C138" s="6" t="s">
        <v>637</v>
      </c>
      <c r="D138" s="6">
        <v>1</v>
      </c>
      <c r="E138" s="6" t="s">
        <v>638</v>
      </c>
      <c r="F138" s="6">
        <v>0</v>
      </c>
      <c r="G138" s="6" t="s">
        <v>160</v>
      </c>
      <c r="H138" s="6" t="s">
        <v>56</v>
      </c>
      <c r="I138" s="6" t="s">
        <v>333</v>
      </c>
      <c r="J138" s="6" t="s">
        <v>334</v>
      </c>
      <c r="K138" s="6" t="s">
        <v>33</v>
      </c>
      <c r="L138" s="6" t="s">
        <v>34</v>
      </c>
      <c r="M138" s="6" t="s">
        <v>35</v>
      </c>
      <c r="N138" s="6" t="s">
        <v>438</v>
      </c>
      <c r="O138" s="6" t="s">
        <v>639</v>
      </c>
      <c r="P138" s="6" t="s">
        <v>640</v>
      </c>
      <c r="T138" s="6" t="s">
        <v>641</v>
      </c>
      <c r="U138" s="7">
        <f t="shared" si="13"/>
        <v>45704</v>
      </c>
      <c r="V138" s="6">
        <f t="shared" si="14"/>
        <v>7</v>
      </c>
      <c r="W138" s="8" t="str">
        <f t="shared" si="15"/>
        <v>08:40</v>
      </c>
      <c r="X138" s="8" t="str">
        <f t="shared" si="16"/>
        <v>16:10</v>
      </c>
      <c r="Y138" s="9">
        <f t="shared" si="17"/>
        <v>0.31250000000000006</v>
      </c>
      <c r="Z138" s="22" t="str">
        <f t="shared" si="18"/>
        <v>2025-02-16 일 (08:40~16:10) : 7시간 30분</v>
      </c>
      <c r="AA138" s="22"/>
      <c r="AB138" s="6" t="str">
        <f ca="1">_xlfn.XLOOKUP(I138, 기초데이터!$C$2:$C$305, 기초데이터!$U$2:$U$305)</f>
        <v>ywcho@neurophet.com</v>
      </c>
    </row>
    <row r="139" spans="1:28" x14ac:dyDescent="0.3">
      <c r="A139" s="6">
        <f>SUBTOTAL(3,$I$2:I139)*1</f>
        <v>138</v>
      </c>
      <c r="B139" s="21" t="s">
        <v>362</v>
      </c>
      <c r="C139" s="6" t="s">
        <v>642</v>
      </c>
      <c r="D139" s="6">
        <v>1</v>
      </c>
      <c r="E139" s="6" t="s">
        <v>592</v>
      </c>
      <c r="F139" s="6">
        <v>0</v>
      </c>
      <c r="G139" s="6" t="s">
        <v>562</v>
      </c>
      <c r="H139" s="6" t="s">
        <v>30</v>
      </c>
      <c r="I139" s="6" t="s">
        <v>563</v>
      </c>
      <c r="J139" s="6" t="s">
        <v>564</v>
      </c>
      <c r="K139" s="6" t="s">
        <v>33</v>
      </c>
      <c r="L139" s="6" t="s">
        <v>34</v>
      </c>
      <c r="M139" s="6" t="s">
        <v>35</v>
      </c>
      <c r="N139" s="6" t="s">
        <v>565</v>
      </c>
      <c r="O139" s="6" t="s">
        <v>566</v>
      </c>
      <c r="P139" s="6" t="s">
        <v>567</v>
      </c>
      <c r="T139" s="6" t="s">
        <v>643</v>
      </c>
      <c r="U139" s="7">
        <f t="shared" si="13"/>
        <v>45704</v>
      </c>
      <c r="V139" s="6">
        <f t="shared" si="14"/>
        <v>7</v>
      </c>
      <c r="W139" s="8" t="str">
        <f t="shared" si="15"/>
        <v>14:55</v>
      </c>
      <c r="X139" s="8" t="str">
        <f t="shared" si="16"/>
        <v>18:45</v>
      </c>
      <c r="Y139" s="9">
        <f t="shared" si="17"/>
        <v>0.15972222222222221</v>
      </c>
      <c r="Z139" s="22" t="str">
        <f t="shared" si="18"/>
        <v>2025-02-16 일 (14:55~18:45) : 3시간 50분</v>
      </c>
      <c r="AA139" s="22"/>
      <c r="AB139" s="6" t="str">
        <f ca="1">_xlfn.XLOOKUP(I139, 기초데이터!$C$2:$C$305, 기초데이터!$U$2:$U$305)</f>
        <v>hajin@neurophet.com</v>
      </c>
    </row>
    <row r="140" spans="1:28" x14ac:dyDescent="0.3">
      <c r="A140" s="6">
        <f>SUBTOTAL(3,$I$2:I140)*1</f>
        <v>139</v>
      </c>
      <c r="B140" s="21" t="s">
        <v>362</v>
      </c>
      <c r="C140" s="6" t="s">
        <v>644</v>
      </c>
      <c r="D140" s="6">
        <v>1</v>
      </c>
      <c r="E140" s="6" t="s">
        <v>183</v>
      </c>
      <c r="F140" s="6">
        <v>0</v>
      </c>
      <c r="G140" s="6" t="s">
        <v>42</v>
      </c>
      <c r="H140" s="6" t="s">
        <v>56</v>
      </c>
      <c r="I140" s="6" t="s">
        <v>94</v>
      </c>
      <c r="J140" s="6" t="s">
        <v>95</v>
      </c>
      <c r="K140" s="6" t="s">
        <v>33</v>
      </c>
      <c r="L140" s="6" t="s">
        <v>34</v>
      </c>
      <c r="M140" s="6" t="s">
        <v>35</v>
      </c>
      <c r="N140" s="6" t="s">
        <v>438</v>
      </c>
      <c r="O140" s="6" t="s">
        <v>645</v>
      </c>
      <c r="P140" s="6" t="s">
        <v>646</v>
      </c>
      <c r="T140" s="6" t="s">
        <v>647</v>
      </c>
      <c r="U140" s="7">
        <f t="shared" si="13"/>
        <v>45704</v>
      </c>
      <c r="V140" s="6">
        <f t="shared" si="14"/>
        <v>7</v>
      </c>
      <c r="W140" s="8" t="str">
        <f t="shared" si="15"/>
        <v>16:17</v>
      </c>
      <c r="X140" s="8" t="str">
        <f t="shared" si="16"/>
        <v>20:09</v>
      </c>
      <c r="Y140" s="9">
        <f t="shared" si="17"/>
        <v>0.16111111111111109</v>
      </c>
      <c r="Z140" s="22" t="str">
        <f t="shared" si="18"/>
        <v>2025-02-16 일 (16:17~20:09) : 3시간 52분</v>
      </c>
      <c r="AA140" s="22"/>
      <c r="AB140" s="6" t="str">
        <f ca="1">_xlfn.XLOOKUP(I140, 기초데이터!$C$2:$C$305, 기초데이터!$U$2:$U$305)</f>
        <v>clarence@neurophet.com</v>
      </c>
    </row>
    <row r="141" spans="1:28" x14ac:dyDescent="0.3">
      <c r="A141" s="6">
        <f>SUBTOTAL(3,$I$2:I141)*1</f>
        <v>140</v>
      </c>
      <c r="B141" s="21" t="s">
        <v>362</v>
      </c>
      <c r="C141" s="6" t="s">
        <v>648</v>
      </c>
      <c r="D141" s="6">
        <v>1</v>
      </c>
      <c r="E141" s="6" t="s">
        <v>128</v>
      </c>
      <c r="F141" s="6">
        <v>0</v>
      </c>
      <c r="G141" s="6" t="s">
        <v>167</v>
      </c>
      <c r="H141" s="6" t="s">
        <v>30</v>
      </c>
      <c r="I141" s="6" t="s">
        <v>219</v>
      </c>
      <c r="J141" s="6" t="s">
        <v>220</v>
      </c>
      <c r="K141" s="6" t="s">
        <v>33</v>
      </c>
      <c r="L141" s="6" t="s">
        <v>34</v>
      </c>
      <c r="M141" s="6" t="s">
        <v>35</v>
      </c>
      <c r="N141" s="6" t="s">
        <v>649</v>
      </c>
      <c r="O141" s="6" t="s">
        <v>650</v>
      </c>
      <c r="P141" s="6" t="s">
        <v>651</v>
      </c>
      <c r="T141" s="6" t="s">
        <v>652</v>
      </c>
      <c r="U141" s="7">
        <f t="shared" si="13"/>
        <v>45705</v>
      </c>
      <c r="V141" s="6">
        <f t="shared" si="14"/>
        <v>8</v>
      </c>
      <c r="W141" s="8" t="str">
        <f t="shared" si="15"/>
        <v>17:09</v>
      </c>
      <c r="X141" s="8" t="str">
        <f t="shared" si="16"/>
        <v>19:09</v>
      </c>
      <c r="Y141" s="9">
        <f t="shared" si="17"/>
        <v>8.333333333333337E-2</v>
      </c>
      <c r="Z141" s="22" t="str">
        <f t="shared" si="18"/>
        <v>2025-02-17 월 (17:09~19:09) : 2시간</v>
      </c>
      <c r="AA141" s="22"/>
      <c r="AB141" s="6" t="str">
        <f ca="1">_xlfn.XLOOKUP(I141, 기초데이터!$C$2:$C$305, 기초데이터!$U$2:$U$305)</f>
        <v>youngji.song@neurophet.com</v>
      </c>
    </row>
    <row r="142" spans="1:28" x14ac:dyDescent="0.3">
      <c r="A142" s="6">
        <f>SUBTOTAL(3,$I$2:I142)*1</f>
        <v>141</v>
      </c>
      <c r="B142" s="21" t="s">
        <v>362</v>
      </c>
      <c r="C142" s="6" t="s">
        <v>653</v>
      </c>
      <c r="D142" s="6">
        <v>1</v>
      </c>
      <c r="E142" s="6" t="s">
        <v>70</v>
      </c>
      <c r="F142" s="6">
        <v>0</v>
      </c>
      <c r="G142" s="6" t="s">
        <v>364</v>
      </c>
      <c r="H142" s="6" t="s">
        <v>30</v>
      </c>
      <c r="I142" s="6" t="s">
        <v>365</v>
      </c>
      <c r="J142" s="6" t="s">
        <v>366</v>
      </c>
      <c r="K142" s="6" t="s">
        <v>33</v>
      </c>
      <c r="L142" s="6" t="s">
        <v>34</v>
      </c>
      <c r="M142" s="6" t="s">
        <v>35</v>
      </c>
      <c r="N142" s="6" t="s">
        <v>377</v>
      </c>
      <c r="O142" s="6" t="s">
        <v>378</v>
      </c>
      <c r="P142" s="6" t="s">
        <v>379</v>
      </c>
      <c r="T142" s="6" t="s">
        <v>380</v>
      </c>
      <c r="U142" s="7">
        <f t="shared" si="13"/>
        <v>45705</v>
      </c>
      <c r="V142" s="6">
        <f t="shared" si="14"/>
        <v>8</v>
      </c>
      <c r="W142" s="8" t="str">
        <f t="shared" si="15"/>
        <v>17:25</v>
      </c>
      <c r="X142" s="8" t="str">
        <f t="shared" si="16"/>
        <v>20:35</v>
      </c>
      <c r="Y142" s="9">
        <f t="shared" si="17"/>
        <v>0.13194444444444442</v>
      </c>
      <c r="Z142" s="22" t="str">
        <f t="shared" si="18"/>
        <v>2025-02-17 월 (17:25~20:35) : 3시간 10분</v>
      </c>
      <c r="AA142" s="22"/>
      <c r="AB142" s="6" t="str">
        <f ca="1">_xlfn.XLOOKUP(I142, 기초데이터!$C$2:$C$305, 기초데이터!$U$2:$U$305)</f>
        <v>noah@neurophet.com</v>
      </c>
    </row>
    <row r="143" spans="1:28" x14ac:dyDescent="0.3">
      <c r="A143" s="6">
        <f>SUBTOTAL(3,$I$2:I143)*1</f>
        <v>142</v>
      </c>
      <c r="B143" s="21" t="s">
        <v>362</v>
      </c>
      <c r="C143" s="6" t="s">
        <v>654</v>
      </c>
      <c r="D143" s="6">
        <v>1</v>
      </c>
      <c r="E143" s="6" t="s">
        <v>53</v>
      </c>
      <c r="F143" s="6">
        <v>0</v>
      </c>
      <c r="G143" s="6" t="s">
        <v>399</v>
      </c>
      <c r="H143" s="6" t="s">
        <v>30</v>
      </c>
      <c r="I143" s="6" t="s">
        <v>400</v>
      </c>
      <c r="J143" s="6" t="s">
        <v>401</v>
      </c>
      <c r="K143" s="6" t="s">
        <v>33</v>
      </c>
      <c r="L143" s="6" t="s">
        <v>34</v>
      </c>
      <c r="M143" s="6" t="s">
        <v>35</v>
      </c>
      <c r="N143" s="6" t="s">
        <v>549</v>
      </c>
      <c r="O143" s="6" t="s">
        <v>655</v>
      </c>
      <c r="P143" s="6" t="s">
        <v>656</v>
      </c>
      <c r="T143" s="6" t="s">
        <v>657</v>
      </c>
      <c r="U143" s="7">
        <f t="shared" si="13"/>
        <v>45705</v>
      </c>
      <c r="V143" s="6">
        <f t="shared" si="14"/>
        <v>8</v>
      </c>
      <c r="W143" s="8" t="str">
        <f t="shared" si="15"/>
        <v>17:43</v>
      </c>
      <c r="X143" s="8" t="str">
        <f t="shared" si="16"/>
        <v>21:43</v>
      </c>
      <c r="Y143" s="9">
        <f t="shared" si="17"/>
        <v>0.16666666666666663</v>
      </c>
      <c r="Z143" s="22" t="str">
        <f t="shared" si="18"/>
        <v>2025-02-17 월 (17:43~21:43) : 4시간</v>
      </c>
      <c r="AA143" s="22"/>
      <c r="AB143" s="6" t="str">
        <f ca="1">_xlfn.XLOOKUP(I143, 기초데이터!$C$2:$C$305, 기초데이터!$U$2:$U$305)</f>
        <v>lsr@neurophet.com</v>
      </c>
    </row>
    <row r="144" spans="1:28" x14ac:dyDescent="0.3">
      <c r="A144" s="6">
        <f>SUBTOTAL(3,$I$2:I144)*1</f>
        <v>143</v>
      </c>
      <c r="B144" s="21" t="s">
        <v>362</v>
      </c>
      <c r="C144" s="6" t="s">
        <v>658</v>
      </c>
      <c r="D144" s="6">
        <v>1</v>
      </c>
      <c r="E144" s="6" t="s">
        <v>53</v>
      </c>
      <c r="F144" s="6">
        <v>0</v>
      </c>
      <c r="G144" s="6" t="s">
        <v>399</v>
      </c>
      <c r="H144" s="6" t="s">
        <v>30</v>
      </c>
      <c r="I144" s="6" t="s">
        <v>659</v>
      </c>
      <c r="K144" s="6" t="s">
        <v>33</v>
      </c>
      <c r="L144" s="6" t="s">
        <v>34</v>
      </c>
      <c r="M144" s="6" t="s">
        <v>35</v>
      </c>
      <c r="N144" s="6" t="s">
        <v>660</v>
      </c>
      <c r="O144" s="6" t="s">
        <v>661</v>
      </c>
      <c r="P144" s="6" t="s">
        <v>662</v>
      </c>
      <c r="T144" s="6" t="s">
        <v>663</v>
      </c>
      <c r="U144" s="7">
        <f t="shared" si="13"/>
        <v>45706</v>
      </c>
      <c r="V144" s="6">
        <f t="shared" si="14"/>
        <v>8</v>
      </c>
      <c r="W144" s="8" t="str">
        <f t="shared" si="15"/>
        <v>17:00</v>
      </c>
      <c r="X144" s="8" t="str">
        <f t="shared" si="16"/>
        <v>21:00</v>
      </c>
      <c r="Y144" s="9">
        <f t="shared" si="17"/>
        <v>0.16666666666666663</v>
      </c>
      <c r="Z144" s="22" t="str">
        <f t="shared" si="18"/>
        <v>2025-02-18 화 (17:00~21:00) : 4시간</v>
      </c>
      <c r="AA144" s="22"/>
      <c r="AB144" s="6" t="str">
        <f ca="1">_xlfn.XLOOKUP(I144, 기초데이터!$C$2:$C$305, 기초데이터!$U$2:$U$305)</f>
        <v>sikang@neurophet.com</v>
      </c>
    </row>
    <row r="145" spans="1:28" x14ac:dyDescent="0.3">
      <c r="A145" s="6">
        <f>SUBTOTAL(3,$I$2:I145)*1</f>
        <v>144</v>
      </c>
      <c r="B145" s="21" t="s">
        <v>362</v>
      </c>
      <c r="C145" s="6" t="s">
        <v>664</v>
      </c>
      <c r="D145" s="6">
        <v>1</v>
      </c>
      <c r="E145" s="6" t="s">
        <v>53</v>
      </c>
      <c r="F145" s="6">
        <v>0</v>
      </c>
      <c r="G145" s="6" t="s">
        <v>399</v>
      </c>
      <c r="H145" s="6" t="s">
        <v>30</v>
      </c>
      <c r="I145" s="6" t="s">
        <v>400</v>
      </c>
      <c r="J145" s="6" t="s">
        <v>401</v>
      </c>
      <c r="K145" s="6" t="s">
        <v>33</v>
      </c>
      <c r="L145" s="6" t="s">
        <v>34</v>
      </c>
      <c r="M145" s="6" t="s">
        <v>35</v>
      </c>
      <c r="N145" s="6" t="s">
        <v>549</v>
      </c>
      <c r="O145" s="6" t="s">
        <v>655</v>
      </c>
      <c r="P145" s="6" t="s">
        <v>656</v>
      </c>
      <c r="T145" s="6" t="s">
        <v>665</v>
      </c>
      <c r="U145" s="7">
        <f t="shared" si="13"/>
        <v>45706</v>
      </c>
      <c r="V145" s="6">
        <f t="shared" si="14"/>
        <v>8</v>
      </c>
      <c r="W145" s="8" t="str">
        <f t="shared" si="15"/>
        <v>17:25</v>
      </c>
      <c r="X145" s="8" t="str">
        <f t="shared" si="16"/>
        <v>21:25</v>
      </c>
      <c r="Y145" s="9">
        <f t="shared" si="17"/>
        <v>0.16666666666666674</v>
      </c>
      <c r="Z145" s="22" t="str">
        <f t="shared" si="18"/>
        <v>2025-02-18 화 (17:25~21:25) : 4시간</v>
      </c>
      <c r="AA145" s="22"/>
      <c r="AB145" s="6" t="str">
        <f ca="1">_xlfn.XLOOKUP(I145, 기초데이터!$C$2:$C$305, 기초데이터!$U$2:$U$305)</f>
        <v>lsr@neurophet.com</v>
      </c>
    </row>
    <row r="146" spans="1:28" x14ac:dyDescent="0.3">
      <c r="A146" s="6">
        <f>SUBTOTAL(3,$I$2:I146)*1</f>
        <v>145</v>
      </c>
      <c r="B146" s="21" t="s">
        <v>362</v>
      </c>
      <c r="C146" s="6" t="s">
        <v>666</v>
      </c>
      <c r="D146" s="6">
        <v>1</v>
      </c>
      <c r="E146" s="6" t="s">
        <v>610</v>
      </c>
      <c r="F146" s="6">
        <v>0</v>
      </c>
      <c r="G146" s="6" t="s">
        <v>364</v>
      </c>
      <c r="H146" s="6" t="s">
        <v>30</v>
      </c>
      <c r="I146" s="6" t="s">
        <v>365</v>
      </c>
      <c r="J146" s="6" t="s">
        <v>366</v>
      </c>
      <c r="K146" s="6" t="s">
        <v>33</v>
      </c>
      <c r="L146" s="6" t="s">
        <v>34</v>
      </c>
      <c r="M146" s="6" t="s">
        <v>35</v>
      </c>
      <c r="N146" s="6" t="s">
        <v>377</v>
      </c>
      <c r="O146" s="6" t="s">
        <v>378</v>
      </c>
      <c r="P146" s="6" t="s">
        <v>379</v>
      </c>
      <c r="T146" s="6" t="s">
        <v>380</v>
      </c>
      <c r="U146" s="7">
        <f t="shared" si="13"/>
        <v>45706</v>
      </c>
      <c r="V146" s="6">
        <f t="shared" si="14"/>
        <v>8</v>
      </c>
      <c r="W146" s="8" t="str">
        <f t="shared" si="15"/>
        <v>17:27</v>
      </c>
      <c r="X146" s="8" t="str">
        <f t="shared" si="16"/>
        <v>20:59</v>
      </c>
      <c r="Y146" s="9">
        <f t="shared" si="17"/>
        <v>0.14722222222222225</v>
      </c>
      <c r="Z146" s="22" t="str">
        <f t="shared" si="18"/>
        <v>2025-02-18 화 (17:27~20:59) : 3시간 32분</v>
      </c>
      <c r="AA146" s="22"/>
      <c r="AB146" s="6" t="str">
        <f ca="1">_xlfn.XLOOKUP(I146, 기초데이터!$C$2:$C$305, 기초데이터!$U$2:$U$305)</f>
        <v>noah@neurophet.com</v>
      </c>
    </row>
    <row r="147" spans="1:28" x14ac:dyDescent="0.3">
      <c r="A147" s="6">
        <f>SUBTOTAL(3,$I$2:I147)*1</f>
        <v>146</v>
      </c>
      <c r="B147" s="21" t="s">
        <v>362</v>
      </c>
      <c r="C147" s="6" t="s">
        <v>667</v>
      </c>
      <c r="D147" s="6">
        <v>1</v>
      </c>
      <c r="E147" s="6" t="s">
        <v>128</v>
      </c>
      <c r="F147" s="6">
        <v>0</v>
      </c>
      <c r="G147" s="6" t="s">
        <v>131</v>
      </c>
      <c r="H147" s="6" t="s">
        <v>56</v>
      </c>
      <c r="I147" s="6" t="s">
        <v>132</v>
      </c>
      <c r="J147" s="6" t="s">
        <v>133</v>
      </c>
      <c r="K147" s="6" t="s">
        <v>33</v>
      </c>
      <c r="L147" s="6" t="s">
        <v>34</v>
      </c>
      <c r="M147" s="6" t="s">
        <v>35</v>
      </c>
      <c r="N147" s="6" t="s">
        <v>660</v>
      </c>
      <c r="O147" s="6" t="s">
        <v>668</v>
      </c>
      <c r="P147" s="6" t="s">
        <v>669</v>
      </c>
      <c r="T147" s="6" t="s">
        <v>670</v>
      </c>
      <c r="U147" s="7">
        <f t="shared" si="13"/>
        <v>45706</v>
      </c>
      <c r="V147" s="6">
        <f t="shared" si="14"/>
        <v>8</v>
      </c>
      <c r="W147" s="8" t="str">
        <f t="shared" si="15"/>
        <v>17:30</v>
      </c>
      <c r="X147" s="8" t="str">
        <f t="shared" si="16"/>
        <v>19:30</v>
      </c>
      <c r="Y147" s="9">
        <f t="shared" si="17"/>
        <v>8.333333333333337E-2</v>
      </c>
      <c r="Z147" s="22" t="str">
        <f t="shared" si="18"/>
        <v>2025-02-18 화 (17:30~19:30) : 2시간</v>
      </c>
      <c r="AA147" s="22"/>
      <c r="AB147" s="6" t="str">
        <f ca="1">_xlfn.XLOOKUP(I147, 기초데이터!$C$2:$C$305, 기초데이터!$U$2:$U$305)</f>
        <v>kelly.seo@neurophet.com</v>
      </c>
    </row>
    <row r="148" spans="1:28" x14ac:dyDescent="0.3">
      <c r="A148" s="6">
        <f>SUBTOTAL(3,$I$2:I148)*1</f>
        <v>147</v>
      </c>
      <c r="B148" s="21" t="s">
        <v>362</v>
      </c>
      <c r="C148" s="6" t="s">
        <v>671</v>
      </c>
      <c r="D148" s="6">
        <v>1</v>
      </c>
      <c r="E148" s="6" t="s">
        <v>41</v>
      </c>
      <c r="F148" s="6">
        <v>0</v>
      </c>
      <c r="G148" s="6" t="s">
        <v>399</v>
      </c>
      <c r="H148" s="6" t="s">
        <v>56</v>
      </c>
      <c r="I148" s="6" t="s">
        <v>420</v>
      </c>
      <c r="J148" s="6" t="s">
        <v>421</v>
      </c>
      <c r="K148" s="6" t="s">
        <v>33</v>
      </c>
      <c r="L148" s="6" t="s">
        <v>34</v>
      </c>
      <c r="M148" s="6" t="s">
        <v>35</v>
      </c>
      <c r="N148" s="6" t="s">
        <v>660</v>
      </c>
      <c r="O148" s="6" t="s">
        <v>672</v>
      </c>
      <c r="P148" s="6" t="s">
        <v>673</v>
      </c>
      <c r="T148" s="6" t="s">
        <v>674</v>
      </c>
      <c r="U148" s="7">
        <f t="shared" si="13"/>
        <v>45706</v>
      </c>
      <c r="V148" s="6">
        <f t="shared" si="14"/>
        <v>8</v>
      </c>
      <c r="W148" s="8" t="str">
        <f t="shared" si="15"/>
        <v>19:25</v>
      </c>
      <c r="X148" s="8" t="str">
        <f t="shared" si="16"/>
        <v>21:40</v>
      </c>
      <c r="Y148" s="9">
        <f t="shared" si="17"/>
        <v>9.375E-2</v>
      </c>
      <c r="Z148" s="22" t="str">
        <f t="shared" si="18"/>
        <v>2025-02-18 화 (19:25~21:40) : 2시간 15분</v>
      </c>
      <c r="AA148" s="22"/>
      <c r="AB148" s="6" t="str">
        <f ca="1">_xlfn.XLOOKUP(I148, 기초데이터!$C$2:$C$305, 기초데이터!$U$2:$U$305)</f>
        <v>manjae.jeon@neurophet.com</v>
      </c>
    </row>
    <row r="149" spans="1:28" x14ac:dyDescent="0.3">
      <c r="A149" s="6">
        <f>SUBTOTAL(3,$I$2:I149)*1</f>
        <v>148</v>
      </c>
      <c r="B149" s="21" t="s">
        <v>362</v>
      </c>
      <c r="C149" s="6" t="s">
        <v>675</v>
      </c>
      <c r="D149" s="6">
        <v>1</v>
      </c>
      <c r="E149" s="6" t="s">
        <v>393</v>
      </c>
      <c r="F149" s="6">
        <v>0</v>
      </c>
      <c r="G149" s="6" t="s">
        <v>42</v>
      </c>
      <c r="H149" s="6" t="s">
        <v>30</v>
      </c>
      <c r="I149" s="6" t="s">
        <v>81</v>
      </c>
      <c r="J149" s="6" t="s">
        <v>82</v>
      </c>
      <c r="K149" s="6" t="s">
        <v>33</v>
      </c>
      <c r="L149" s="6" t="s">
        <v>34</v>
      </c>
      <c r="M149" s="6" t="s">
        <v>35</v>
      </c>
      <c r="N149" s="6" t="s">
        <v>565</v>
      </c>
      <c r="O149" s="6" t="s">
        <v>676</v>
      </c>
      <c r="P149" s="6" t="s">
        <v>677</v>
      </c>
      <c r="T149" s="6" t="s">
        <v>678</v>
      </c>
      <c r="U149" s="7">
        <f t="shared" si="13"/>
        <v>45707</v>
      </c>
      <c r="V149" s="6">
        <f t="shared" si="14"/>
        <v>8</v>
      </c>
      <c r="W149" s="8" t="str">
        <f t="shared" si="15"/>
        <v>16:34</v>
      </c>
      <c r="X149" s="8" t="str">
        <f t="shared" si="16"/>
        <v>19:10</v>
      </c>
      <c r="Y149" s="9">
        <f t="shared" si="17"/>
        <v>0.10833333333333339</v>
      </c>
      <c r="Z149" s="22" t="str">
        <f t="shared" si="18"/>
        <v>2025-02-19 수 (16:34~19:10) : 2시간 36분</v>
      </c>
      <c r="AA149" s="22"/>
      <c r="AB149" s="6" t="str">
        <f ca="1">_xlfn.XLOOKUP(I149, 기초데이터!$C$2:$C$305, 기초데이터!$U$2:$U$305)</f>
        <v>dahyun@neurophet.com</v>
      </c>
    </row>
    <row r="150" spans="1:28" x14ac:dyDescent="0.3">
      <c r="A150" s="6">
        <f>SUBTOTAL(3,$I$2:I150)*1</f>
        <v>149</v>
      </c>
      <c r="B150" s="21" t="s">
        <v>362</v>
      </c>
      <c r="C150" s="6" t="s">
        <v>679</v>
      </c>
      <c r="D150" s="6">
        <v>1</v>
      </c>
      <c r="E150" s="6" t="s">
        <v>53</v>
      </c>
      <c r="F150" s="6">
        <v>0</v>
      </c>
      <c r="G150" s="6" t="s">
        <v>283</v>
      </c>
      <c r="H150" s="6" t="s">
        <v>30</v>
      </c>
      <c r="I150" s="6" t="s">
        <v>284</v>
      </c>
      <c r="J150" s="6" t="s">
        <v>285</v>
      </c>
      <c r="K150" s="6" t="s">
        <v>33</v>
      </c>
      <c r="L150" s="6" t="s">
        <v>34</v>
      </c>
      <c r="M150" s="6" t="s">
        <v>35</v>
      </c>
      <c r="N150" s="6" t="s">
        <v>680</v>
      </c>
      <c r="O150" s="6" t="s">
        <v>681</v>
      </c>
      <c r="P150" s="6" t="s">
        <v>682</v>
      </c>
      <c r="T150" s="6" t="s">
        <v>683</v>
      </c>
      <c r="U150" s="7">
        <f t="shared" si="13"/>
        <v>45707</v>
      </c>
      <c r="V150" s="6">
        <f t="shared" si="14"/>
        <v>8</v>
      </c>
      <c r="W150" s="8" t="str">
        <f t="shared" si="15"/>
        <v>16:40</v>
      </c>
      <c r="X150" s="8" t="str">
        <f t="shared" si="16"/>
        <v>20:40</v>
      </c>
      <c r="Y150" s="9">
        <f t="shared" si="17"/>
        <v>0.16666666666666674</v>
      </c>
      <c r="Z150" s="22" t="str">
        <f t="shared" si="18"/>
        <v>2025-02-19 수 (16:40~20:40) : 4시간</v>
      </c>
      <c r="AA150" s="22"/>
      <c r="AB150" s="6" t="str">
        <f ca="1">_xlfn.XLOOKUP(I150, 기초데이터!$C$2:$C$305, 기초데이터!$U$2:$U$305)</f>
        <v>hmseong@neurophet.com</v>
      </c>
    </row>
    <row r="151" spans="1:28" x14ac:dyDescent="0.3">
      <c r="A151" s="6">
        <f>SUBTOTAL(3,$I$2:I151)*1</f>
        <v>150</v>
      </c>
      <c r="B151" s="21" t="s">
        <v>362</v>
      </c>
      <c r="C151" s="6" t="s">
        <v>684</v>
      </c>
      <c r="D151" s="6">
        <v>1</v>
      </c>
      <c r="E151" s="6" t="s">
        <v>237</v>
      </c>
      <c r="F151" s="6">
        <v>0</v>
      </c>
      <c r="G151" s="6" t="s">
        <v>685</v>
      </c>
      <c r="H151" s="6" t="s">
        <v>30</v>
      </c>
      <c r="I151" s="6" t="s">
        <v>686</v>
      </c>
      <c r="J151" s="6" t="s">
        <v>687</v>
      </c>
      <c r="K151" s="6" t="s">
        <v>33</v>
      </c>
      <c r="L151" s="6" t="s">
        <v>34</v>
      </c>
      <c r="M151" s="6" t="s">
        <v>35</v>
      </c>
      <c r="N151" s="6" t="s">
        <v>688</v>
      </c>
      <c r="O151" s="6" t="s">
        <v>689</v>
      </c>
      <c r="P151" s="6" t="s">
        <v>690</v>
      </c>
      <c r="T151" s="6" t="s">
        <v>691</v>
      </c>
      <c r="U151" s="7">
        <f t="shared" si="13"/>
        <v>45707</v>
      </c>
      <c r="V151" s="6">
        <f t="shared" si="14"/>
        <v>8</v>
      </c>
      <c r="W151" s="8" t="str">
        <f t="shared" si="15"/>
        <v>17:00</v>
      </c>
      <c r="X151" s="8" t="str">
        <f t="shared" si="16"/>
        <v>19:10</v>
      </c>
      <c r="Y151" s="9">
        <f t="shared" si="17"/>
        <v>9.027777777777779E-2</v>
      </c>
      <c r="Z151" s="22" t="str">
        <f t="shared" si="18"/>
        <v>2025-02-19 수 (17:00~19:10) : 2시간 10분</v>
      </c>
      <c r="AA151" s="22"/>
      <c r="AB151" s="6" t="str">
        <f ca="1">_xlfn.XLOOKUP(I151, 기초데이터!$C$2:$C$305, 기초데이터!$U$2:$U$305)</f>
        <v>jjyoon@neurophet.com</v>
      </c>
    </row>
    <row r="152" spans="1:28" x14ac:dyDescent="0.3">
      <c r="A152" s="6">
        <f>SUBTOTAL(3,$I$2:I152)*1</f>
        <v>151</v>
      </c>
      <c r="B152" s="21" t="s">
        <v>362</v>
      </c>
      <c r="C152" s="6" t="s">
        <v>692</v>
      </c>
      <c r="D152" s="6">
        <v>1</v>
      </c>
      <c r="E152" s="6" t="s">
        <v>63</v>
      </c>
      <c r="F152" s="6">
        <v>0</v>
      </c>
      <c r="G152" s="6" t="s">
        <v>399</v>
      </c>
      <c r="H152" s="6" t="s">
        <v>30</v>
      </c>
      <c r="I152" s="6" t="s">
        <v>659</v>
      </c>
      <c r="K152" s="6" t="s">
        <v>33</v>
      </c>
      <c r="L152" s="6" t="s">
        <v>34</v>
      </c>
      <c r="M152" s="6" t="s">
        <v>35</v>
      </c>
      <c r="N152" s="6" t="s">
        <v>565</v>
      </c>
      <c r="O152" s="6" t="s">
        <v>693</v>
      </c>
      <c r="P152" s="6" t="s">
        <v>694</v>
      </c>
      <c r="T152" s="6" t="s">
        <v>695</v>
      </c>
      <c r="U152" s="7">
        <f t="shared" si="13"/>
        <v>45707</v>
      </c>
      <c r="V152" s="6">
        <f t="shared" si="14"/>
        <v>8</v>
      </c>
      <c r="W152" s="8" t="str">
        <f t="shared" si="15"/>
        <v>17:00</v>
      </c>
      <c r="X152" s="8" t="str">
        <f t="shared" si="16"/>
        <v>20:00</v>
      </c>
      <c r="Y152" s="9">
        <f t="shared" si="17"/>
        <v>0.125</v>
      </c>
      <c r="Z152" s="22" t="str">
        <f t="shared" si="18"/>
        <v>2025-02-19 수 (17:00~20:00) : 3시간</v>
      </c>
      <c r="AA152" s="22"/>
      <c r="AB152" s="6" t="str">
        <f ca="1">_xlfn.XLOOKUP(I152, 기초데이터!$C$2:$C$305, 기초데이터!$U$2:$U$305)</f>
        <v>sikang@neurophet.com</v>
      </c>
    </row>
    <row r="153" spans="1:28" x14ac:dyDescent="0.3">
      <c r="A153" s="6">
        <f>SUBTOTAL(3,$I$2:I153)*1</f>
        <v>152</v>
      </c>
      <c r="B153" s="21" t="s">
        <v>362</v>
      </c>
      <c r="C153" s="6" t="s">
        <v>696</v>
      </c>
      <c r="D153" s="6">
        <v>1</v>
      </c>
      <c r="E153" s="6" t="s">
        <v>128</v>
      </c>
      <c r="F153" s="6">
        <v>0</v>
      </c>
      <c r="G153" s="6" t="s">
        <v>131</v>
      </c>
      <c r="H153" s="6" t="s">
        <v>56</v>
      </c>
      <c r="I153" s="6" t="s">
        <v>132</v>
      </c>
      <c r="J153" s="6" t="s">
        <v>133</v>
      </c>
      <c r="K153" s="6" t="s">
        <v>33</v>
      </c>
      <c r="L153" s="6" t="s">
        <v>34</v>
      </c>
      <c r="M153" s="6" t="s">
        <v>35</v>
      </c>
      <c r="N153" s="6" t="s">
        <v>565</v>
      </c>
      <c r="O153" s="6" t="s">
        <v>697</v>
      </c>
      <c r="P153" s="6" t="s">
        <v>698</v>
      </c>
      <c r="T153" s="6" t="s">
        <v>699</v>
      </c>
      <c r="U153" s="7">
        <f t="shared" si="13"/>
        <v>45707</v>
      </c>
      <c r="V153" s="6">
        <f t="shared" si="14"/>
        <v>8</v>
      </c>
      <c r="W153" s="8" t="str">
        <f t="shared" si="15"/>
        <v>17:30</v>
      </c>
      <c r="X153" s="8" t="str">
        <f t="shared" si="16"/>
        <v>19:30</v>
      </c>
      <c r="Y153" s="9">
        <f t="shared" si="17"/>
        <v>8.333333333333337E-2</v>
      </c>
      <c r="Z153" s="22" t="str">
        <f t="shared" si="18"/>
        <v>2025-02-19 수 (17:30~19:30) : 2시간</v>
      </c>
      <c r="AA153" s="22"/>
      <c r="AB153" s="6" t="str">
        <f ca="1">_xlfn.XLOOKUP(I153, 기초데이터!$C$2:$C$305, 기초데이터!$U$2:$U$305)</f>
        <v>kelly.seo@neurophet.com</v>
      </c>
    </row>
    <row r="154" spans="1:28" x14ac:dyDescent="0.3">
      <c r="A154" s="6">
        <f>SUBTOTAL(3,$I$2:I154)*1</f>
        <v>153</v>
      </c>
      <c r="B154" s="21" t="s">
        <v>362</v>
      </c>
      <c r="C154" s="6" t="s">
        <v>700</v>
      </c>
      <c r="D154" s="6">
        <v>1</v>
      </c>
      <c r="E154" s="6" t="s">
        <v>147</v>
      </c>
      <c r="F154" s="6">
        <v>0</v>
      </c>
      <c r="G154" s="6" t="s">
        <v>364</v>
      </c>
      <c r="H154" s="6" t="s">
        <v>30</v>
      </c>
      <c r="I154" s="6" t="s">
        <v>365</v>
      </c>
      <c r="J154" s="6" t="s">
        <v>366</v>
      </c>
      <c r="K154" s="6" t="s">
        <v>33</v>
      </c>
      <c r="L154" s="6" t="s">
        <v>34</v>
      </c>
      <c r="M154" s="6" t="s">
        <v>35</v>
      </c>
      <c r="N154" s="6" t="s">
        <v>377</v>
      </c>
      <c r="O154" s="6" t="s">
        <v>378</v>
      </c>
      <c r="P154" s="6" t="s">
        <v>379</v>
      </c>
      <c r="T154" s="6" t="s">
        <v>380</v>
      </c>
      <c r="U154" s="7">
        <f t="shared" si="13"/>
        <v>45707</v>
      </c>
      <c r="V154" s="6">
        <f t="shared" si="14"/>
        <v>8</v>
      </c>
      <c r="W154" s="8" t="str">
        <f t="shared" si="15"/>
        <v>17:35</v>
      </c>
      <c r="X154" s="8" t="str">
        <f t="shared" si="16"/>
        <v>22:53</v>
      </c>
      <c r="Y154" s="9">
        <f t="shared" si="17"/>
        <v>0.22083333333333344</v>
      </c>
      <c r="Z154" s="22" t="str">
        <f t="shared" si="18"/>
        <v>2025-02-19 수 (17:35~22:53) : 5시간 18분</v>
      </c>
      <c r="AA154" s="22"/>
      <c r="AB154" s="6" t="str">
        <f ca="1">_xlfn.XLOOKUP(I154, 기초데이터!$C$2:$C$305, 기초데이터!$U$2:$U$305)</f>
        <v>noah@neurophet.com</v>
      </c>
    </row>
    <row r="155" spans="1:28" x14ac:dyDescent="0.3">
      <c r="A155" s="6">
        <f>SUBTOTAL(3,$I$2:I155)*1</f>
        <v>154</v>
      </c>
      <c r="B155" s="21" t="s">
        <v>362</v>
      </c>
      <c r="C155" s="6" t="s">
        <v>701</v>
      </c>
      <c r="D155" s="6">
        <v>1</v>
      </c>
      <c r="E155" s="6" t="s">
        <v>469</v>
      </c>
      <c r="F155" s="6">
        <v>0</v>
      </c>
      <c r="G155" s="6" t="s">
        <v>119</v>
      </c>
      <c r="H155" s="6" t="s">
        <v>30</v>
      </c>
      <c r="I155" s="6" t="s">
        <v>120</v>
      </c>
      <c r="J155" s="6" t="s">
        <v>121</v>
      </c>
      <c r="K155" s="6" t="s">
        <v>33</v>
      </c>
      <c r="L155" s="6" t="s">
        <v>34</v>
      </c>
      <c r="M155" s="6" t="s">
        <v>35</v>
      </c>
      <c r="N155" s="6" t="s">
        <v>702</v>
      </c>
      <c r="O155" s="6" t="s">
        <v>703</v>
      </c>
      <c r="P155" s="6" t="s">
        <v>704</v>
      </c>
      <c r="T155" s="6" t="s">
        <v>705</v>
      </c>
      <c r="U155" s="7">
        <f t="shared" si="13"/>
        <v>45708</v>
      </c>
      <c r="V155" s="6">
        <f t="shared" si="14"/>
        <v>8</v>
      </c>
      <c r="W155" s="8" t="str">
        <f t="shared" si="15"/>
        <v>16:03</v>
      </c>
      <c r="X155" s="8" t="str">
        <f t="shared" si="16"/>
        <v>17:12</v>
      </c>
      <c r="Y155" s="9">
        <f t="shared" si="17"/>
        <v>4.7916666666666718E-2</v>
      </c>
      <c r="Z155" s="22" t="str">
        <f t="shared" si="18"/>
        <v>2025-02-20 목 (16:03~17:12) : 1시간 9분</v>
      </c>
      <c r="AA155" s="22"/>
      <c r="AB155" s="6" t="str">
        <f ca="1">_xlfn.XLOOKUP(I155, 기초데이터!$C$2:$C$305, 기초데이터!$U$2:$U$305)</f>
        <v>iypark@neurophet.com</v>
      </c>
    </row>
    <row r="156" spans="1:28" x14ac:dyDescent="0.3">
      <c r="A156" s="6">
        <f>SUBTOTAL(3,$I$2:I156)*1</f>
        <v>155</v>
      </c>
      <c r="B156" s="21" t="s">
        <v>362</v>
      </c>
      <c r="C156" s="6" t="s">
        <v>706</v>
      </c>
      <c r="D156" s="6">
        <v>1</v>
      </c>
      <c r="E156" s="6" t="s">
        <v>53</v>
      </c>
      <c r="F156" s="6">
        <v>0</v>
      </c>
      <c r="G156" s="6" t="s">
        <v>283</v>
      </c>
      <c r="H156" s="6" t="s">
        <v>30</v>
      </c>
      <c r="I156" s="6" t="s">
        <v>284</v>
      </c>
      <c r="J156" s="6" t="s">
        <v>285</v>
      </c>
      <c r="K156" s="6" t="s">
        <v>33</v>
      </c>
      <c r="L156" s="6" t="s">
        <v>34</v>
      </c>
      <c r="M156" s="6" t="s">
        <v>35</v>
      </c>
      <c r="N156" s="6" t="s">
        <v>680</v>
      </c>
      <c r="O156" s="6" t="s">
        <v>681</v>
      </c>
      <c r="P156" s="6" t="s">
        <v>682</v>
      </c>
      <c r="T156" s="6" t="s">
        <v>707</v>
      </c>
      <c r="U156" s="7">
        <f t="shared" si="13"/>
        <v>45708</v>
      </c>
      <c r="V156" s="6">
        <f t="shared" si="14"/>
        <v>8</v>
      </c>
      <c r="W156" s="8" t="str">
        <f t="shared" si="15"/>
        <v>16:40</v>
      </c>
      <c r="X156" s="8" t="str">
        <f t="shared" si="16"/>
        <v>20:40</v>
      </c>
      <c r="Y156" s="9">
        <f t="shared" si="17"/>
        <v>0.16666666666666674</v>
      </c>
      <c r="Z156" s="22" t="str">
        <f t="shared" si="18"/>
        <v>2025-02-20 목 (16:40~20:40) : 4시간</v>
      </c>
      <c r="AA156" s="22"/>
      <c r="AB156" s="6" t="str">
        <f ca="1">_xlfn.XLOOKUP(I156, 기초데이터!$C$2:$C$305, 기초데이터!$U$2:$U$305)</f>
        <v>hmseong@neurophet.com</v>
      </c>
    </row>
    <row r="157" spans="1:28" x14ac:dyDescent="0.3">
      <c r="A157" s="6">
        <f>SUBTOTAL(3,$I$2:I157)*1</f>
        <v>156</v>
      </c>
      <c r="B157" s="21" t="s">
        <v>362</v>
      </c>
      <c r="C157" s="6" t="s">
        <v>708</v>
      </c>
      <c r="D157" s="6">
        <v>1</v>
      </c>
      <c r="E157" s="6" t="s">
        <v>55</v>
      </c>
      <c r="F157" s="6">
        <v>0</v>
      </c>
      <c r="G157" s="6" t="s">
        <v>42</v>
      </c>
      <c r="H157" s="6" t="s">
        <v>30</v>
      </c>
      <c r="I157" s="6" t="s">
        <v>81</v>
      </c>
      <c r="J157" s="6" t="s">
        <v>82</v>
      </c>
      <c r="K157" s="6" t="s">
        <v>33</v>
      </c>
      <c r="L157" s="6" t="s">
        <v>34</v>
      </c>
      <c r="M157" s="6" t="s">
        <v>35</v>
      </c>
      <c r="N157" s="6" t="s">
        <v>549</v>
      </c>
      <c r="O157" s="6" t="s">
        <v>709</v>
      </c>
      <c r="P157" s="6" t="s">
        <v>710</v>
      </c>
      <c r="T157" s="6" t="s">
        <v>711</v>
      </c>
      <c r="U157" s="7">
        <f t="shared" si="13"/>
        <v>45708</v>
      </c>
      <c r="V157" s="6">
        <f t="shared" si="14"/>
        <v>8</v>
      </c>
      <c r="W157" s="8" t="str">
        <f t="shared" si="15"/>
        <v>16:51</v>
      </c>
      <c r="X157" s="8" t="str">
        <f t="shared" si="16"/>
        <v>19:20</v>
      </c>
      <c r="Y157" s="9">
        <f t="shared" si="17"/>
        <v>0.1034722222222223</v>
      </c>
      <c r="Z157" s="22" t="str">
        <f t="shared" si="18"/>
        <v>2025-02-20 목 (16:51~19:20) : 2시간 29분</v>
      </c>
      <c r="AA157" s="22"/>
      <c r="AB157" s="6" t="str">
        <f ca="1">_xlfn.XLOOKUP(I157, 기초데이터!$C$2:$C$305, 기초데이터!$U$2:$U$305)</f>
        <v>dahyun@neurophet.com</v>
      </c>
    </row>
    <row r="158" spans="1:28" x14ac:dyDescent="0.3">
      <c r="A158" s="6">
        <f>SUBTOTAL(3,$I$2:I158)*1</f>
        <v>157</v>
      </c>
      <c r="B158" s="21" t="s">
        <v>362</v>
      </c>
      <c r="C158" s="6" t="s">
        <v>712</v>
      </c>
      <c r="D158" s="6">
        <v>1</v>
      </c>
      <c r="E158" s="6" t="s">
        <v>205</v>
      </c>
      <c r="F158" s="6">
        <v>0</v>
      </c>
      <c r="G158" s="6" t="s">
        <v>131</v>
      </c>
      <c r="H158" s="6" t="s">
        <v>30</v>
      </c>
      <c r="I158" s="6" t="s">
        <v>713</v>
      </c>
      <c r="J158" s="6" t="s">
        <v>714</v>
      </c>
      <c r="K158" s="6" t="s">
        <v>33</v>
      </c>
      <c r="L158" s="6" t="s">
        <v>34</v>
      </c>
      <c r="M158" s="6" t="s">
        <v>35</v>
      </c>
      <c r="N158" s="6" t="s">
        <v>715</v>
      </c>
      <c r="O158" s="6" t="s">
        <v>716</v>
      </c>
      <c r="P158" s="6" t="s">
        <v>717</v>
      </c>
      <c r="T158" s="6" t="s">
        <v>718</v>
      </c>
      <c r="U158" s="7">
        <f t="shared" si="13"/>
        <v>45708</v>
      </c>
      <c r="V158" s="6">
        <f t="shared" si="14"/>
        <v>8</v>
      </c>
      <c r="W158" s="8" t="str">
        <f t="shared" si="15"/>
        <v>17:25</v>
      </c>
      <c r="X158" s="8" t="str">
        <f t="shared" si="16"/>
        <v>21:03</v>
      </c>
      <c r="Y158" s="9">
        <f t="shared" si="17"/>
        <v>0.15138888888888891</v>
      </c>
      <c r="Z158" s="22" t="str">
        <f t="shared" si="18"/>
        <v>2025-02-20 목 (17:25~21:03) : 3시간 38분</v>
      </c>
      <c r="AA158" s="22"/>
      <c r="AB158" s="6" t="str">
        <f ca="1">_xlfn.XLOOKUP(I158, 기초데이터!$C$2:$C$305, 기초데이터!$U$2:$U$305)</f>
        <v>jieunlee@neurophet.com</v>
      </c>
    </row>
    <row r="159" spans="1:28" x14ac:dyDescent="0.3">
      <c r="A159" s="6">
        <f>SUBTOTAL(3,$I$2:I159)*1</f>
        <v>158</v>
      </c>
      <c r="B159" s="21" t="s">
        <v>362</v>
      </c>
      <c r="C159" s="6" t="s">
        <v>719</v>
      </c>
      <c r="D159" s="6">
        <v>1</v>
      </c>
      <c r="E159" s="6" t="s">
        <v>63</v>
      </c>
      <c r="F159" s="6">
        <v>0</v>
      </c>
      <c r="G159" s="6" t="s">
        <v>131</v>
      </c>
      <c r="H159" s="6" t="s">
        <v>56</v>
      </c>
      <c r="I159" s="6" t="s">
        <v>132</v>
      </c>
      <c r="J159" s="6" t="s">
        <v>133</v>
      </c>
      <c r="K159" s="6" t="s">
        <v>33</v>
      </c>
      <c r="L159" s="6" t="s">
        <v>34</v>
      </c>
      <c r="M159" s="6" t="s">
        <v>35</v>
      </c>
      <c r="N159" s="6" t="s">
        <v>565</v>
      </c>
      <c r="O159" s="6" t="s">
        <v>720</v>
      </c>
      <c r="P159" s="6" t="s">
        <v>721</v>
      </c>
      <c r="T159" s="6" t="s">
        <v>722</v>
      </c>
      <c r="U159" s="7">
        <f t="shared" si="13"/>
        <v>45708</v>
      </c>
      <c r="V159" s="6">
        <f t="shared" si="14"/>
        <v>8</v>
      </c>
      <c r="W159" s="8" t="str">
        <f t="shared" si="15"/>
        <v>17:30</v>
      </c>
      <c r="X159" s="8" t="str">
        <f t="shared" si="16"/>
        <v>20:30</v>
      </c>
      <c r="Y159" s="9">
        <f t="shared" si="17"/>
        <v>0.125</v>
      </c>
      <c r="Z159" s="22" t="str">
        <f t="shared" si="18"/>
        <v>2025-02-20 목 (17:30~20:30) : 3시간</v>
      </c>
      <c r="AA159" s="22"/>
      <c r="AB159" s="6" t="str">
        <f ca="1">_xlfn.XLOOKUP(I159, 기초데이터!$C$2:$C$305, 기초데이터!$U$2:$U$305)</f>
        <v>kelly.seo@neurophet.com</v>
      </c>
    </row>
    <row r="160" spans="1:28" x14ac:dyDescent="0.3">
      <c r="A160" s="6">
        <f>SUBTOTAL(3,$I$2:I160)*1</f>
        <v>159</v>
      </c>
      <c r="B160" s="21" t="s">
        <v>362</v>
      </c>
      <c r="C160" s="6" t="s">
        <v>723</v>
      </c>
      <c r="D160" s="6">
        <v>1</v>
      </c>
      <c r="E160" s="6" t="s">
        <v>303</v>
      </c>
      <c r="F160" s="6">
        <v>0</v>
      </c>
      <c r="G160" s="6" t="s">
        <v>238</v>
      </c>
      <c r="H160" s="6" t="s">
        <v>30</v>
      </c>
      <c r="I160" s="6" t="s">
        <v>724</v>
      </c>
      <c r="J160" s="6" t="s">
        <v>725</v>
      </c>
      <c r="K160" s="6" t="s">
        <v>33</v>
      </c>
      <c r="L160" s="6" t="s">
        <v>34</v>
      </c>
      <c r="M160" s="6" t="s">
        <v>35</v>
      </c>
      <c r="N160" s="6" t="s">
        <v>715</v>
      </c>
      <c r="O160" s="6" t="s">
        <v>726</v>
      </c>
      <c r="P160" s="6" t="s">
        <v>727</v>
      </c>
      <c r="T160" s="6" t="s">
        <v>728</v>
      </c>
      <c r="U160" s="7">
        <f t="shared" si="13"/>
        <v>45708</v>
      </c>
      <c r="V160" s="6">
        <f t="shared" si="14"/>
        <v>8</v>
      </c>
      <c r="W160" s="8" t="str">
        <f t="shared" si="15"/>
        <v>18:32</v>
      </c>
      <c r="X160" s="8" t="str">
        <f t="shared" si="16"/>
        <v>20:36</v>
      </c>
      <c r="Y160" s="9">
        <f t="shared" si="17"/>
        <v>8.6111111111111027E-2</v>
      </c>
      <c r="Z160" s="22" t="str">
        <f t="shared" si="18"/>
        <v>2025-02-20 목 (18:32~20:36) : 2시간 4분</v>
      </c>
      <c r="AA160" s="22"/>
      <c r="AB160" s="6" t="str">
        <f ca="1">_xlfn.XLOOKUP(I160, 기초데이터!$C$2:$C$305, 기초데이터!$U$2:$U$305)</f>
        <v>minwoo@neurophet.com</v>
      </c>
    </row>
    <row r="161" spans="1:28" x14ac:dyDescent="0.3">
      <c r="A161" s="6">
        <f>SUBTOTAL(3,$I$2:I161)*1</f>
        <v>160</v>
      </c>
      <c r="B161" s="21" t="s">
        <v>362</v>
      </c>
      <c r="C161" s="6" t="s">
        <v>729</v>
      </c>
      <c r="D161" s="6">
        <v>1</v>
      </c>
      <c r="E161" s="6" t="s">
        <v>237</v>
      </c>
      <c r="F161" s="6">
        <v>0</v>
      </c>
      <c r="G161" s="6" t="s">
        <v>139</v>
      </c>
      <c r="H161" s="6" t="s">
        <v>30</v>
      </c>
      <c r="I161" s="6" t="s">
        <v>547</v>
      </c>
      <c r="J161" s="6" t="s">
        <v>548</v>
      </c>
      <c r="K161" s="6" t="s">
        <v>33</v>
      </c>
      <c r="L161" s="6" t="s">
        <v>34</v>
      </c>
      <c r="M161" s="6" t="s">
        <v>35</v>
      </c>
      <c r="N161" s="6" t="s">
        <v>715</v>
      </c>
      <c r="O161" s="6" t="s">
        <v>730</v>
      </c>
      <c r="P161" s="6" t="s">
        <v>731</v>
      </c>
      <c r="T161" s="6" t="s">
        <v>732</v>
      </c>
      <c r="U161" s="7">
        <f t="shared" si="13"/>
        <v>45708</v>
      </c>
      <c r="V161" s="6">
        <f t="shared" si="14"/>
        <v>8</v>
      </c>
      <c r="W161" s="8" t="str">
        <f t="shared" si="15"/>
        <v>19:10</v>
      </c>
      <c r="X161" s="8" t="str">
        <f t="shared" si="16"/>
        <v>21:23</v>
      </c>
      <c r="Y161" s="9">
        <f t="shared" si="17"/>
        <v>9.2361111111111116E-2</v>
      </c>
      <c r="Z161" s="22" t="str">
        <f t="shared" si="18"/>
        <v>2025-02-20 목 (19:10~21:23) : 2시간 13분</v>
      </c>
      <c r="AA161" s="22"/>
      <c r="AB161" s="6" t="str">
        <f ca="1">_xlfn.XLOOKUP(I161, 기초데이터!$C$2:$C$305, 기초데이터!$U$2:$U$305)</f>
        <v>sgkang@neurophet.com</v>
      </c>
    </row>
    <row r="162" spans="1:28" x14ac:dyDescent="0.3">
      <c r="A162" s="6">
        <f>SUBTOTAL(3,$I$2:I162)*1</f>
        <v>161</v>
      </c>
      <c r="B162" s="21" t="s">
        <v>362</v>
      </c>
      <c r="C162" s="6" t="s">
        <v>733</v>
      </c>
      <c r="D162" s="6">
        <v>1</v>
      </c>
      <c r="E162" s="6" t="s">
        <v>107</v>
      </c>
      <c r="F162" s="6">
        <v>0</v>
      </c>
      <c r="G162" s="6" t="s">
        <v>283</v>
      </c>
      <c r="H162" s="6" t="s">
        <v>30</v>
      </c>
      <c r="I162" s="6" t="s">
        <v>284</v>
      </c>
      <c r="J162" s="6" t="s">
        <v>285</v>
      </c>
      <c r="K162" s="6" t="s">
        <v>33</v>
      </c>
      <c r="L162" s="6" t="s">
        <v>34</v>
      </c>
      <c r="M162" s="6" t="s">
        <v>35</v>
      </c>
      <c r="N162" s="6" t="s">
        <v>680</v>
      </c>
      <c r="O162" s="6" t="s">
        <v>681</v>
      </c>
      <c r="P162" s="6" t="s">
        <v>682</v>
      </c>
      <c r="T162" s="6" t="s">
        <v>707</v>
      </c>
      <c r="U162" s="7">
        <f t="shared" si="13"/>
        <v>45709</v>
      </c>
      <c r="V162" s="6">
        <f t="shared" si="14"/>
        <v>8</v>
      </c>
      <c r="W162" s="8" t="str">
        <f t="shared" si="15"/>
        <v>16:40</v>
      </c>
      <c r="X162" s="8" t="str">
        <f t="shared" si="16"/>
        <v>20:00</v>
      </c>
      <c r="Y162" s="9">
        <f t="shared" si="17"/>
        <v>0.13888888888888895</v>
      </c>
      <c r="Z162" s="22" t="str">
        <f t="shared" si="18"/>
        <v>2025-02-21 금 (16:40~20:00) : 3시간 20분</v>
      </c>
      <c r="AA162" s="22"/>
      <c r="AB162" s="6" t="str">
        <f ca="1">_xlfn.XLOOKUP(I162, 기초데이터!$C$2:$C$305, 기초데이터!$U$2:$U$305)</f>
        <v>hmseong@neurophet.com</v>
      </c>
    </row>
    <row r="163" spans="1:28" x14ac:dyDescent="0.3">
      <c r="A163" s="6">
        <f>SUBTOTAL(3,$I$2:I163)*1</f>
        <v>162</v>
      </c>
      <c r="B163" s="21" t="s">
        <v>362</v>
      </c>
      <c r="C163" s="6" t="s">
        <v>734</v>
      </c>
      <c r="D163" s="6">
        <v>1</v>
      </c>
      <c r="E163" s="6" t="s">
        <v>53</v>
      </c>
      <c r="F163" s="6">
        <v>0</v>
      </c>
      <c r="G163" s="6" t="s">
        <v>399</v>
      </c>
      <c r="H163" s="6" t="s">
        <v>30</v>
      </c>
      <c r="I163" s="6" t="s">
        <v>400</v>
      </c>
      <c r="J163" s="6" t="s">
        <v>401</v>
      </c>
      <c r="K163" s="6" t="s">
        <v>33</v>
      </c>
      <c r="L163" s="6" t="s">
        <v>34</v>
      </c>
      <c r="M163" s="6" t="s">
        <v>35</v>
      </c>
      <c r="N163" s="6" t="s">
        <v>549</v>
      </c>
      <c r="O163" s="6" t="s">
        <v>655</v>
      </c>
      <c r="P163" s="6" t="s">
        <v>656</v>
      </c>
      <c r="T163" s="6" t="s">
        <v>735</v>
      </c>
      <c r="U163" s="7">
        <f t="shared" si="13"/>
        <v>45709</v>
      </c>
      <c r="V163" s="6">
        <f t="shared" si="14"/>
        <v>8</v>
      </c>
      <c r="W163" s="8" t="str">
        <f t="shared" si="15"/>
        <v>17:28</v>
      </c>
      <c r="X163" s="8" t="str">
        <f t="shared" si="16"/>
        <v>21:28</v>
      </c>
      <c r="Y163" s="9">
        <f t="shared" si="17"/>
        <v>0.16666666666666674</v>
      </c>
      <c r="Z163" s="22" t="str">
        <f t="shared" si="18"/>
        <v>2025-02-21 금 (17:28~21:28) : 4시간</v>
      </c>
      <c r="AA163" s="22"/>
      <c r="AB163" s="6" t="str">
        <f ca="1">_xlfn.XLOOKUP(I163, 기초데이터!$C$2:$C$305, 기초데이터!$U$2:$U$305)</f>
        <v>lsr@neurophet.com</v>
      </c>
    </row>
    <row r="164" spans="1:28" x14ac:dyDescent="0.3">
      <c r="A164" s="6">
        <f>SUBTOTAL(3,$I$2:I164)*1</f>
        <v>163</v>
      </c>
      <c r="B164" s="21" t="s">
        <v>362</v>
      </c>
      <c r="C164" s="10" t="s">
        <v>736</v>
      </c>
      <c r="D164" s="6">
        <v>1</v>
      </c>
      <c r="E164" s="6" t="s">
        <v>53</v>
      </c>
      <c r="F164" s="6">
        <v>0</v>
      </c>
      <c r="G164" s="6" t="s">
        <v>737</v>
      </c>
      <c r="H164" s="6" t="s">
        <v>30</v>
      </c>
      <c r="I164" s="6" t="s">
        <v>738</v>
      </c>
      <c r="J164" s="6" t="s">
        <v>739</v>
      </c>
      <c r="K164" s="6" t="s">
        <v>33</v>
      </c>
      <c r="L164" s="6" t="s">
        <v>34</v>
      </c>
      <c r="M164" s="6" t="s">
        <v>35</v>
      </c>
      <c r="N164" s="6" t="s">
        <v>740</v>
      </c>
      <c r="O164" s="6" t="s">
        <v>741</v>
      </c>
      <c r="P164" s="6" t="s">
        <v>742</v>
      </c>
      <c r="T164" s="6" t="s">
        <v>743</v>
      </c>
      <c r="U164" s="7">
        <f t="shared" si="13"/>
        <v>45710</v>
      </c>
      <c r="V164" s="6">
        <f t="shared" si="14"/>
        <v>8</v>
      </c>
      <c r="W164" s="8" t="str">
        <f t="shared" si="15"/>
        <v>09:00</v>
      </c>
      <c r="X164" s="8" t="str">
        <f t="shared" si="16"/>
        <v>13:00</v>
      </c>
      <c r="Y164" s="9">
        <f t="shared" si="17"/>
        <v>0.16666666666666663</v>
      </c>
      <c r="Z164" s="22" t="str">
        <f t="shared" si="18"/>
        <v>2025-02-22 토 (09:00~13:00) : 4시간</v>
      </c>
      <c r="AA164" s="22"/>
      <c r="AB164" s="6" t="str">
        <f ca="1">_xlfn.XLOOKUP(I164, 기초데이터!$C$2:$C$305, 기초데이터!$U$2:$U$305)</f>
        <v>yhchoi@neurophet.com</v>
      </c>
    </row>
    <row r="165" spans="1:28" x14ac:dyDescent="0.3">
      <c r="A165" s="6">
        <f>SUBTOTAL(3,$I$2:I165)*1</f>
        <v>164</v>
      </c>
      <c r="B165" s="21" t="s">
        <v>362</v>
      </c>
      <c r="C165" s="6" t="s">
        <v>744</v>
      </c>
      <c r="D165" s="6">
        <v>1</v>
      </c>
      <c r="E165" s="6" t="s">
        <v>77</v>
      </c>
      <c r="F165" s="6">
        <v>0</v>
      </c>
      <c r="G165" s="6" t="s">
        <v>399</v>
      </c>
      <c r="H165" s="6" t="s">
        <v>56</v>
      </c>
      <c r="I165" s="6" t="s">
        <v>420</v>
      </c>
      <c r="J165" s="6" t="s">
        <v>421</v>
      </c>
      <c r="K165" s="6" t="s">
        <v>33</v>
      </c>
      <c r="L165" s="6" t="s">
        <v>34</v>
      </c>
      <c r="M165" s="6" t="s">
        <v>35</v>
      </c>
      <c r="N165" s="6" t="s">
        <v>740</v>
      </c>
      <c r="O165" s="6" t="s">
        <v>745</v>
      </c>
      <c r="P165" s="6" t="s">
        <v>746</v>
      </c>
      <c r="T165" s="6" t="s">
        <v>747</v>
      </c>
      <c r="U165" s="7">
        <f t="shared" si="13"/>
        <v>45710</v>
      </c>
      <c r="V165" s="6">
        <f t="shared" si="14"/>
        <v>8</v>
      </c>
      <c r="W165" s="8" t="str">
        <f t="shared" si="15"/>
        <v>09:00</v>
      </c>
      <c r="X165" s="8" t="str">
        <f t="shared" si="16"/>
        <v>14:00</v>
      </c>
      <c r="Y165" s="9">
        <f t="shared" si="17"/>
        <v>0.20833333333333337</v>
      </c>
      <c r="Z165" s="22" t="str">
        <f t="shared" si="18"/>
        <v>2025-02-22 토 (09:00~14:00) : 5시간</v>
      </c>
      <c r="AA165" s="22"/>
      <c r="AB165" s="6" t="str">
        <f ca="1">_xlfn.XLOOKUP(I165, 기초데이터!$C$2:$C$305, 기초데이터!$U$2:$U$305)</f>
        <v>manjae.jeon@neurophet.com</v>
      </c>
    </row>
    <row r="166" spans="1:28" x14ac:dyDescent="0.3">
      <c r="A166" s="6">
        <f>SUBTOTAL(3,$I$2:I166)*1</f>
        <v>165</v>
      </c>
      <c r="B166" s="21" t="s">
        <v>362</v>
      </c>
      <c r="C166" s="6" t="s">
        <v>748</v>
      </c>
      <c r="D166" s="6">
        <v>1</v>
      </c>
      <c r="E166" s="6" t="s">
        <v>749</v>
      </c>
      <c r="F166" s="6">
        <v>0</v>
      </c>
      <c r="G166" s="6" t="s">
        <v>29</v>
      </c>
      <c r="H166" s="6" t="s">
        <v>30</v>
      </c>
      <c r="I166" s="6" t="s">
        <v>31</v>
      </c>
      <c r="J166" s="6" t="s">
        <v>32</v>
      </c>
      <c r="K166" s="6" t="s">
        <v>33</v>
      </c>
      <c r="L166" s="6" t="s">
        <v>34</v>
      </c>
      <c r="M166" s="6" t="s">
        <v>35</v>
      </c>
      <c r="N166" s="6" t="s">
        <v>750</v>
      </c>
      <c r="O166" s="6" t="s">
        <v>751</v>
      </c>
      <c r="P166" s="6" t="s">
        <v>752</v>
      </c>
      <c r="T166" s="6" t="s">
        <v>753</v>
      </c>
      <c r="U166" s="7">
        <f t="shared" si="13"/>
        <v>45710</v>
      </c>
      <c r="V166" s="6">
        <f t="shared" si="14"/>
        <v>8</v>
      </c>
      <c r="W166" s="8" t="str">
        <f t="shared" si="15"/>
        <v>10:20</v>
      </c>
      <c r="X166" s="8" t="str">
        <f t="shared" si="16"/>
        <v>16:45</v>
      </c>
      <c r="Y166" s="9">
        <f t="shared" si="17"/>
        <v>0.26736111111111105</v>
      </c>
      <c r="Z166" s="22" t="str">
        <f t="shared" si="18"/>
        <v>2025-02-22 토 (10:20~16:45) : 6시간 25분</v>
      </c>
      <c r="AA166" s="22"/>
      <c r="AB166" s="6" t="str">
        <f ca="1">_xlfn.XLOOKUP(I166, 기초데이터!$C$2:$C$305, 기초데이터!$U$2:$U$305)</f>
        <v>kgy@neurophet.com</v>
      </c>
    </row>
    <row r="167" spans="1:28" x14ac:dyDescent="0.3">
      <c r="A167" s="6">
        <f>SUBTOTAL(3,$I$2:I167)*1</f>
        <v>166</v>
      </c>
      <c r="B167" s="21" t="s">
        <v>362</v>
      </c>
      <c r="C167" s="6" t="s">
        <v>754</v>
      </c>
      <c r="D167" s="6">
        <v>1</v>
      </c>
      <c r="E167" s="6" t="s">
        <v>128</v>
      </c>
      <c r="F167" s="6">
        <v>0</v>
      </c>
      <c r="G167" s="6" t="s">
        <v>29</v>
      </c>
      <c r="H167" s="6" t="s">
        <v>56</v>
      </c>
      <c r="I167" s="6" t="s">
        <v>57</v>
      </c>
      <c r="J167" s="6" t="s">
        <v>58</v>
      </c>
      <c r="K167" s="6" t="s">
        <v>33</v>
      </c>
      <c r="L167" s="6" t="s">
        <v>34</v>
      </c>
      <c r="M167" s="6" t="s">
        <v>35</v>
      </c>
      <c r="N167" s="6" t="s">
        <v>750</v>
      </c>
      <c r="O167" s="6" t="s">
        <v>755</v>
      </c>
      <c r="P167" s="6" t="s">
        <v>756</v>
      </c>
      <c r="T167" s="6" t="s">
        <v>757</v>
      </c>
      <c r="U167" s="7">
        <f t="shared" si="13"/>
        <v>45710</v>
      </c>
      <c r="V167" s="6">
        <f t="shared" si="14"/>
        <v>8</v>
      </c>
      <c r="W167" s="8" t="str">
        <f t="shared" si="15"/>
        <v>13:30</v>
      </c>
      <c r="X167" s="8" t="str">
        <f t="shared" si="16"/>
        <v>15:30</v>
      </c>
      <c r="Y167" s="9">
        <f t="shared" si="17"/>
        <v>8.333333333333337E-2</v>
      </c>
      <c r="Z167" s="22" t="str">
        <f t="shared" si="18"/>
        <v>2025-02-22 토 (13:30~15:30) : 2시간</v>
      </c>
      <c r="AA167" s="22"/>
      <c r="AB167" s="6" t="str">
        <f ca="1">_xlfn.XLOOKUP(I167, 기초데이터!$C$2:$C$305, 기초데이터!$U$2:$U$305)</f>
        <v>hsyang@neurophet.com</v>
      </c>
    </row>
    <row r="168" spans="1:28" x14ac:dyDescent="0.3">
      <c r="A168" s="6">
        <f>SUBTOTAL(3,$I$2:I168)*1</f>
        <v>167</v>
      </c>
      <c r="B168" s="21" t="s">
        <v>362</v>
      </c>
      <c r="C168" s="6" t="s">
        <v>758</v>
      </c>
      <c r="D168" s="6">
        <v>1</v>
      </c>
      <c r="E168" s="6" t="s">
        <v>70</v>
      </c>
      <c r="F168" s="6">
        <v>0</v>
      </c>
      <c r="G168" s="6" t="s">
        <v>29</v>
      </c>
      <c r="H168" s="6" t="s">
        <v>30</v>
      </c>
      <c r="I168" s="6" t="s">
        <v>64</v>
      </c>
      <c r="J168" s="6" t="s">
        <v>65</v>
      </c>
      <c r="K168" s="6" t="s">
        <v>33</v>
      </c>
      <c r="L168" s="6" t="s">
        <v>34</v>
      </c>
      <c r="M168" s="6" t="s">
        <v>35</v>
      </c>
      <c r="N168" s="6" t="s">
        <v>750</v>
      </c>
      <c r="O168" s="6" t="s">
        <v>759</v>
      </c>
      <c r="P168" s="6" t="s">
        <v>760</v>
      </c>
      <c r="T168" s="6" t="s">
        <v>761</v>
      </c>
      <c r="U168" s="7">
        <f t="shared" si="13"/>
        <v>45710</v>
      </c>
      <c r="V168" s="6">
        <f t="shared" si="14"/>
        <v>8</v>
      </c>
      <c r="W168" s="8" t="str">
        <f t="shared" si="15"/>
        <v>13:35</v>
      </c>
      <c r="X168" s="8" t="str">
        <f t="shared" si="16"/>
        <v>16:45</v>
      </c>
      <c r="Y168" s="9">
        <f t="shared" si="17"/>
        <v>0.13194444444444442</v>
      </c>
      <c r="Z168" s="22" t="str">
        <f t="shared" si="18"/>
        <v>2025-02-22 토 (13:35~16:45) : 3시간 10분</v>
      </c>
      <c r="AA168" s="22"/>
      <c r="AB168" s="6" t="str">
        <f ca="1">_xlfn.XLOOKUP(I168, 기초데이터!$C$2:$C$305, 기초데이터!$U$2:$U$305)</f>
        <v>doyeon@neurophet.com</v>
      </c>
    </row>
    <row r="169" spans="1:28" x14ac:dyDescent="0.3">
      <c r="A169" s="6">
        <f>SUBTOTAL(3,$I$2:I169)*1</f>
        <v>168</v>
      </c>
      <c r="B169" s="21" t="s">
        <v>362</v>
      </c>
      <c r="C169" s="6" t="s">
        <v>762</v>
      </c>
      <c r="D169" s="6">
        <v>1</v>
      </c>
      <c r="E169" s="6" t="s">
        <v>53</v>
      </c>
      <c r="F169" s="6">
        <v>0</v>
      </c>
      <c r="G169" s="6" t="s">
        <v>238</v>
      </c>
      <c r="H169" s="6" t="s">
        <v>30</v>
      </c>
      <c r="I169" s="6" t="s">
        <v>724</v>
      </c>
      <c r="J169" s="6" t="s">
        <v>725</v>
      </c>
      <c r="K169" s="6" t="s">
        <v>33</v>
      </c>
      <c r="L169" s="6" t="s">
        <v>34</v>
      </c>
      <c r="M169" s="6" t="s">
        <v>35</v>
      </c>
      <c r="N169" s="6" t="s">
        <v>715</v>
      </c>
      <c r="O169" s="6" t="s">
        <v>763</v>
      </c>
      <c r="P169" s="6" t="s">
        <v>764</v>
      </c>
      <c r="T169" s="6" t="s">
        <v>765</v>
      </c>
      <c r="U169" s="7">
        <f t="shared" si="13"/>
        <v>45710</v>
      </c>
      <c r="V169" s="6">
        <f t="shared" si="14"/>
        <v>8</v>
      </c>
      <c r="W169" s="8" t="str">
        <f t="shared" si="15"/>
        <v>14:33</v>
      </c>
      <c r="X169" s="8" t="str">
        <f t="shared" si="16"/>
        <v>18:33</v>
      </c>
      <c r="Y169" s="9">
        <f t="shared" si="17"/>
        <v>0.16666666666666674</v>
      </c>
      <c r="Z169" s="22" t="str">
        <f t="shared" si="18"/>
        <v>2025-02-22 토 (14:33~18:33) : 4시간</v>
      </c>
      <c r="AA169" s="22"/>
      <c r="AB169" s="6" t="str">
        <f ca="1">_xlfn.XLOOKUP(I169, 기초데이터!$C$2:$C$305, 기초데이터!$U$2:$U$305)</f>
        <v>minwoo@neurophet.com</v>
      </c>
    </row>
    <row r="170" spans="1:28" x14ac:dyDescent="0.3">
      <c r="A170" s="6">
        <f>SUBTOTAL(3,$I$2:I170)*1</f>
        <v>169</v>
      </c>
      <c r="B170" s="21" t="s">
        <v>362</v>
      </c>
      <c r="C170" s="6" t="s">
        <v>766</v>
      </c>
      <c r="D170" s="6">
        <v>1</v>
      </c>
      <c r="E170" s="6" t="s">
        <v>55</v>
      </c>
      <c r="F170" s="6">
        <v>0</v>
      </c>
      <c r="G170" s="6" t="s">
        <v>42</v>
      </c>
      <c r="H170" s="6" t="s">
        <v>56</v>
      </c>
      <c r="I170" s="6" t="s">
        <v>94</v>
      </c>
      <c r="J170" s="6" t="s">
        <v>95</v>
      </c>
      <c r="K170" s="6" t="s">
        <v>33</v>
      </c>
      <c r="L170" s="6" t="s">
        <v>34</v>
      </c>
      <c r="M170" s="6" t="s">
        <v>35</v>
      </c>
      <c r="N170" s="6" t="s">
        <v>715</v>
      </c>
      <c r="O170" s="6" t="s">
        <v>767</v>
      </c>
      <c r="P170" s="6" t="s">
        <v>768</v>
      </c>
      <c r="T170" s="6" t="s">
        <v>769</v>
      </c>
      <c r="U170" s="7">
        <f t="shared" si="13"/>
        <v>45710</v>
      </c>
      <c r="V170" s="6">
        <f t="shared" si="14"/>
        <v>8</v>
      </c>
      <c r="W170" s="8" t="str">
        <f t="shared" si="15"/>
        <v>20:46</v>
      </c>
      <c r="X170" s="8" t="str">
        <f t="shared" si="16"/>
        <v>23:13</v>
      </c>
      <c r="Y170" s="9">
        <f t="shared" si="17"/>
        <v>0.1020833333333333</v>
      </c>
      <c r="Z170" s="22" t="str">
        <f t="shared" si="18"/>
        <v>2025-02-22 토 (20:46~23:13) : 2시간 27분</v>
      </c>
      <c r="AA170" s="22"/>
      <c r="AB170" s="6" t="str">
        <f ca="1">_xlfn.XLOOKUP(I170, 기초데이터!$C$2:$C$305, 기초데이터!$U$2:$U$305)</f>
        <v>clarence@neurophet.com</v>
      </c>
    </row>
    <row r="171" spans="1:28" x14ac:dyDescent="0.3">
      <c r="A171" s="6">
        <f>SUBTOTAL(3,$I$2:I171)*1</f>
        <v>170</v>
      </c>
      <c r="B171" s="21" t="s">
        <v>362</v>
      </c>
      <c r="C171" s="6" t="s">
        <v>770</v>
      </c>
      <c r="D171" s="6">
        <v>1</v>
      </c>
      <c r="E171" s="6" t="s">
        <v>41</v>
      </c>
      <c r="F171" s="6">
        <v>0</v>
      </c>
      <c r="G171" s="6" t="s">
        <v>29</v>
      </c>
      <c r="H171" s="6" t="s">
        <v>30</v>
      </c>
      <c r="I171" s="6" t="s">
        <v>31</v>
      </c>
      <c r="J171" s="6" t="s">
        <v>32</v>
      </c>
      <c r="K171" s="6" t="s">
        <v>33</v>
      </c>
      <c r="L171" s="6" t="s">
        <v>34</v>
      </c>
      <c r="M171" s="6" t="s">
        <v>35</v>
      </c>
      <c r="N171" s="6" t="s">
        <v>750</v>
      </c>
      <c r="O171" s="6" t="s">
        <v>751</v>
      </c>
      <c r="P171" s="6" t="s">
        <v>752</v>
      </c>
      <c r="T171" s="6" t="s">
        <v>771</v>
      </c>
      <c r="U171" s="7">
        <f t="shared" si="13"/>
        <v>45711</v>
      </c>
      <c r="V171" s="6">
        <f t="shared" si="14"/>
        <v>8</v>
      </c>
      <c r="W171" s="8" t="str">
        <f t="shared" si="15"/>
        <v>13:10</v>
      </c>
      <c r="X171" s="8" t="str">
        <f t="shared" si="16"/>
        <v>15:25</v>
      </c>
      <c r="Y171" s="9">
        <f t="shared" si="17"/>
        <v>9.375E-2</v>
      </c>
      <c r="Z171" s="22" t="str">
        <f t="shared" si="18"/>
        <v>2025-02-23 일 (13:10~15:25) : 2시간 15분</v>
      </c>
      <c r="AA171" s="22"/>
      <c r="AB171" s="6" t="str">
        <f ca="1">_xlfn.XLOOKUP(I171, 기초데이터!$C$2:$C$305, 기초데이터!$U$2:$U$305)</f>
        <v>kgy@neurophet.com</v>
      </c>
    </row>
    <row r="172" spans="1:28" x14ac:dyDescent="0.3">
      <c r="A172" s="6">
        <f>SUBTOTAL(3,$I$2:I172)*1</f>
        <v>171</v>
      </c>
      <c r="B172" s="21" t="s">
        <v>362</v>
      </c>
      <c r="C172" s="6" t="s">
        <v>772</v>
      </c>
      <c r="D172" s="6">
        <v>1</v>
      </c>
      <c r="E172" s="6" t="s">
        <v>374</v>
      </c>
      <c r="F172" s="6">
        <v>0</v>
      </c>
      <c r="G172" s="6" t="s">
        <v>29</v>
      </c>
      <c r="H172" s="6" t="s">
        <v>30</v>
      </c>
      <c r="I172" s="6" t="s">
        <v>64</v>
      </c>
      <c r="J172" s="6" t="s">
        <v>65</v>
      </c>
      <c r="K172" s="6" t="s">
        <v>33</v>
      </c>
      <c r="L172" s="6" t="s">
        <v>34</v>
      </c>
      <c r="M172" s="6" t="s">
        <v>35</v>
      </c>
      <c r="N172" s="6" t="s">
        <v>750</v>
      </c>
      <c r="O172" s="6" t="s">
        <v>759</v>
      </c>
      <c r="P172" s="6" t="s">
        <v>760</v>
      </c>
      <c r="T172" s="6" t="s">
        <v>773</v>
      </c>
      <c r="U172" s="7">
        <f t="shared" si="13"/>
        <v>45711</v>
      </c>
      <c r="V172" s="6">
        <f t="shared" si="14"/>
        <v>8</v>
      </c>
      <c r="W172" s="8" t="str">
        <f t="shared" si="15"/>
        <v>13:50</v>
      </c>
      <c r="X172" s="8" t="str">
        <f t="shared" si="16"/>
        <v>17:32</v>
      </c>
      <c r="Y172" s="9">
        <f t="shared" si="17"/>
        <v>0.15416666666666667</v>
      </c>
      <c r="Z172" s="22" t="str">
        <f t="shared" si="18"/>
        <v>2025-02-23 일 (13:50~17:32) : 3시간 42분</v>
      </c>
      <c r="AA172" s="22"/>
      <c r="AB172" s="6" t="str">
        <f ca="1">_xlfn.XLOOKUP(I172, 기초데이터!$C$2:$C$305, 기초데이터!$U$2:$U$305)</f>
        <v>doyeon@neurophet.com</v>
      </c>
    </row>
    <row r="173" spans="1:28" x14ac:dyDescent="0.3">
      <c r="A173" s="6">
        <f>SUBTOTAL(3,$I$2:I173)*1</f>
        <v>172</v>
      </c>
      <c r="B173" s="21" t="s">
        <v>362</v>
      </c>
      <c r="C173" s="6" t="s">
        <v>774</v>
      </c>
      <c r="D173" s="6">
        <v>1</v>
      </c>
      <c r="E173" s="6" t="s">
        <v>53</v>
      </c>
      <c r="F173" s="6">
        <v>0</v>
      </c>
      <c r="G173" s="6" t="s">
        <v>238</v>
      </c>
      <c r="H173" s="6" t="s">
        <v>30</v>
      </c>
      <c r="I173" s="6" t="s">
        <v>724</v>
      </c>
      <c r="J173" s="6" t="s">
        <v>725</v>
      </c>
      <c r="K173" s="6" t="s">
        <v>33</v>
      </c>
      <c r="L173" s="6" t="s">
        <v>34</v>
      </c>
      <c r="M173" s="6" t="s">
        <v>35</v>
      </c>
      <c r="N173" s="6" t="s">
        <v>715</v>
      </c>
      <c r="O173" s="6" t="s">
        <v>775</v>
      </c>
      <c r="P173" s="6" t="s">
        <v>776</v>
      </c>
      <c r="T173" s="6" t="s">
        <v>777</v>
      </c>
      <c r="U173" s="7">
        <f t="shared" si="13"/>
        <v>45711</v>
      </c>
      <c r="V173" s="6">
        <f t="shared" si="14"/>
        <v>8</v>
      </c>
      <c r="W173" s="8" t="str">
        <f t="shared" si="15"/>
        <v>13:58</v>
      </c>
      <c r="X173" s="8" t="str">
        <f t="shared" si="16"/>
        <v>17:58</v>
      </c>
      <c r="Y173" s="9">
        <f t="shared" si="17"/>
        <v>0.16666666666666663</v>
      </c>
      <c r="Z173" s="22" t="str">
        <f t="shared" si="18"/>
        <v>2025-02-23 일 (13:58~17:58) : 4시간</v>
      </c>
      <c r="AA173" s="22"/>
      <c r="AB173" s="6" t="str">
        <f ca="1">_xlfn.XLOOKUP(I173, 기초데이터!$C$2:$C$305, 기초데이터!$U$2:$U$305)</f>
        <v>minwoo@neurophet.com</v>
      </c>
    </row>
    <row r="174" spans="1:28" x14ac:dyDescent="0.3">
      <c r="A174" s="6">
        <f>SUBTOTAL(3,$I$2:I174)*1</f>
        <v>173</v>
      </c>
      <c r="B174" s="21" t="s">
        <v>362</v>
      </c>
      <c r="C174" s="6" t="s">
        <v>778</v>
      </c>
      <c r="D174" s="6">
        <v>1</v>
      </c>
      <c r="E174" s="6" t="s">
        <v>53</v>
      </c>
      <c r="F174" s="6">
        <v>0</v>
      </c>
      <c r="G174" s="6" t="s">
        <v>399</v>
      </c>
      <c r="H174" s="6" t="s">
        <v>30</v>
      </c>
      <c r="I174" s="6" t="s">
        <v>400</v>
      </c>
      <c r="J174" s="6" t="s">
        <v>401</v>
      </c>
      <c r="K174" s="6" t="s">
        <v>33</v>
      </c>
      <c r="L174" s="6" t="s">
        <v>34</v>
      </c>
      <c r="M174" s="6" t="s">
        <v>35</v>
      </c>
      <c r="N174" s="6" t="s">
        <v>779</v>
      </c>
      <c r="O174" s="6" t="s">
        <v>780</v>
      </c>
      <c r="P174" s="6" t="s">
        <v>781</v>
      </c>
      <c r="T174" s="6" t="s">
        <v>782</v>
      </c>
      <c r="U174" s="7">
        <f t="shared" si="13"/>
        <v>45712</v>
      </c>
      <c r="V174" s="6">
        <f t="shared" si="14"/>
        <v>9</v>
      </c>
      <c r="W174" s="8" t="str">
        <f t="shared" si="15"/>
        <v>16:00</v>
      </c>
      <c r="X174" s="8" t="str">
        <f t="shared" si="16"/>
        <v>20:00</v>
      </c>
      <c r="Y174" s="9">
        <f t="shared" si="17"/>
        <v>0.16666666666666674</v>
      </c>
      <c r="Z174" s="22" t="str">
        <f t="shared" si="18"/>
        <v>2025-02-24 월 (16:00~20:00) : 4시간</v>
      </c>
      <c r="AA174" s="22"/>
      <c r="AB174" s="6" t="str">
        <f ca="1">_xlfn.XLOOKUP(I174, 기초데이터!$C$2:$C$305, 기초데이터!$U$2:$U$305)</f>
        <v>lsr@neurophet.com</v>
      </c>
    </row>
    <row r="175" spans="1:28" x14ac:dyDescent="0.3">
      <c r="A175" s="6">
        <f>SUBTOTAL(3,$I$2:I175)*1</f>
        <v>174</v>
      </c>
      <c r="B175" s="21" t="s">
        <v>362</v>
      </c>
      <c r="C175" s="6" t="s">
        <v>783</v>
      </c>
      <c r="D175" s="6">
        <v>1</v>
      </c>
      <c r="E175" s="6" t="s">
        <v>628</v>
      </c>
      <c r="F175" s="6">
        <v>0</v>
      </c>
      <c r="G175" s="6" t="s">
        <v>238</v>
      </c>
      <c r="H175" s="6" t="s">
        <v>30</v>
      </c>
      <c r="I175" s="6" t="s">
        <v>724</v>
      </c>
      <c r="J175" s="6" t="s">
        <v>725</v>
      </c>
      <c r="K175" s="6" t="s">
        <v>33</v>
      </c>
      <c r="L175" s="6" t="s">
        <v>34</v>
      </c>
      <c r="M175" s="6" t="s">
        <v>35</v>
      </c>
      <c r="N175" s="6" t="s">
        <v>702</v>
      </c>
      <c r="O175" s="6" t="s">
        <v>784</v>
      </c>
      <c r="P175" s="6" t="s">
        <v>785</v>
      </c>
      <c r="T175" s="6" t="s">
        <v>786</v>
      </c>
      <c r="U175" s="7">
        <f t="shared" si="13"/>
        <v>45712</v>
      </c>
      <c r="V175" s="6">
        <f t="shared" si="14"/>
        <v>9</v>
      </c>
      <c r="W175" s="8" t="str">
        <f t="shared" si="15"/>
        <v>17:09</v>
      </c>
      <c r="X175" s="8" t="str">
        <f t="shared" si="16"/>
        <v>20:30</v>
      </c>
      <c r="Y175" s="9">
        <f t="shared" si="17"/>
        <v>0.13958333333333328</v>
      </c>
      <c r="Z175" s="22" t="str">
        <f t="shared" si="18"/>
        <v>2025-02-24 월 (17:09~20:30) : 3시간 21분</v>
      </c>
      <c r="AA175" s="22"/>
      <c r="AB175" s="6" t="str">
        <f ca="1">_xlfn.XLOOKUP(I175, 기초데이터!$C$2:$C$305, 기초데이터!$U$2:$U$305)</f>
        <v>minwoo@neurophet.com</v>
      </c>
    </row>
    <row r="176" spans="1:28" x14ac:dyDescent="0.3">
      <c r="A176" s="6">
        <f>SUBTOTAL(3,$I$2:I176)*1</f>
        <v>175</v>
      </c>
      <c r="B176" s="21" t="s">
        <v>362</v>
      </c>
      <c r="C176" s="6" t="s">
        <v>787</v>
      </c>
      <c r="D176" s="6">
        <v>1</v>
      </c>
      <c r="E176" s="6" t="s">
        <v>128</v>
      </c>
      <c r="F176" s="6">
        <v>0</v>
      </c>
      <c r="G176" s="6" t="s">
        <v>131</v>
      </c>
      <c r="H176" s="6" t="s">
        <v>56</v>
      </c>
      <c r="I176" s="6" t="s">
        <v>132</v>
      </c>
      <c r="J176" s="6" t="s">
        <v>133</v>
      </c>
      <c r="K176" s="6" t="s">
        <v>33</v>
      </c>
      <c r="L176" s="6" t="s">
        <v>34</v>
      </c>
      <c r="M176" s="6" t="s">
        <v>35</v>
      </c>
      <c r="N176" s="6" t="s">
        <v>715</v>
      </c>
      <c r="O176" s="6" t="s">
        <v>788</v>
      </c>
      <c r="P176" s="6" t="s">
        <v>789</v>
      </c>
      <c r="T176" s="6" t="s">
        <v>790</v>
      </c>
      <c r="U176" s="7">
        <f t="shared" si="13"/>
        <v>45712</v>
      </c>
      <c r="V176" s="6">
        <f t="shared" si="14"/>
        <v>9</v>
      </c>
      <c r="W176" s="8" t="str">
        <f t="shared" si="15"/>
        <v>17:30</v>
      </c>
      <c r="X176" s="8" t="str">
        <f t="shared" si="16"/>
        <v>19:30</v>
      </c>
      <c r="Y176" s="9">
        <f t="shared" si="17"/>
        <v>8.333333333333337E-2</v>
      </c>
      <c r="Z176" s="22" t="str">
        <f t="shared" si="18"/>
        <v>2025-02-24 월 (17:30~19:30) : 2시간</v>
      </c>
      <c r="AA176" s="22"/>
      <c r="AB176" s="6" t="str">
        <f ca="1">_xlfn.XLOOKUP(I176, 기초데이터!$C$2:$C$305, 기초데이터!$U$2:$U$305)</f>
        <v>kelly.seo@neurophet.com</v>
      </c>
    </row>
    <row r="177" spans="1:28" x14ac:dyDescent="0.3">
      <c r="A177" s="6">
        <f>SUBTOTAL(3,$I$2:I177)*1</f>
        <v>176</v>
      </c>
      <c r="B177" s="21" t="s">
        <v>362</v>
      </c>
      <c r="C177" s="6" t="s">
        <v>791</v>
      </c>
      <c r="D177" s="6">
        <v>1</v>
      </c>
      <c r="E177" s="6" t="s">
        <v>792</v>
      </c>
      <c r="F177" s="6">
        <v>0</v>
      </c>
      <c r="G177" s="6" t="s">
        <v>364</v>
      </c>
      <c r="H177" s="6" t="s">
        <v>30</v>
      </c>
      <c r="I177" s="6" t="s">
        <v>365</v>
      </c>
      <c r="J177" s="6" t="s">
        <v>366</v>
      </c>
      <c r="K177" s="6" t="s">
        <v>33</v>
      </c>
      <c r="L177" s="6" t="s">
        <v>34</v>
      </c>
      <c r="M177" s="6" t="s">
        <v>35</v>
      </c>
      <c r="N177" s="6" t="s">
        <v>377</v>
      </c>
      <c r="O177" s="6" t="s">
        <v>378</v>
      </c>
      <c r="P177" s="6" t="s">
        <v>379</v>
      </c>
      <c r="T177" s="6" t="s">
        <v>380</v>
      </c>
      <c r="U177" s="7">
        <f t="shared" si="13"/>
        <v>45712</v>
      </c>
      <c r="V177" s="6">
        <f t="shared" si="14"/>
        <v>9</v>
      </c>
      <c r="W177" s="8" t="str">
        <f t="shared" si="15"/>
        <v>17:37</v>
      </c>
      <c r="X177" s="8" t="str">
        <f t="shared" si="16"/>
        <v>23:42</v>
      </c>
      <c r="Y177" s="9">
        <f t="shared" si="17"/>
        <v>0.25347222222222232</v>
      </c>
      <c r="Z177" s="22" t="str">
        <f t="shared" si="18"/>
        <v>2025-02-24 월 (17:37~23:42) : 6시간 5분</v>
      </c>
      <c r="AA177" s="22"/>
      <c r="AB177" s="6" t="str">
        <f ca="1">_xlfn.XLOOKUP(I177, 기초데이터!$C$2:$C$305, 기초데이터!$U$2:$U$305)</f>
        <v>noah@neurophet.com</v>
      </c>
    </row>
    <row r="178" spans="1:28" x14ac:dyDescent="0.3">
      <c r="A178" s="6">
        <f>SUBTOTAL(3,$I$2:I178)*1</f>
        <v>177</v>
      </c>
      <c r="B178" s="21" t="s">
        <v>362</v>
      </c>
      <c r="C178" s="6" t="s">
        <v>793</v>
      </c>
      <c r="D178" s="6">
        <v>1</v>
      </c>
      <c r="E178" s="6" t="s">
        <v>53</v>
      </c>
      <c r="F178" s="6">
        <v>0</v>
      </c>
      <c r="G178" s="6" t="s">
        <v>399</v>
      </c>
      <c r="H178" s="6" t="s">
        <v>30</v>
      </c>
      <c r="I178" s="6" t="s">
        <v>400</v>
      </c>
      <c r="J178" s="6" t="s">
        <v>401</v>
      </c>
      <c r="K178" s="6" t="s">
        <v>33</v>
      </c>
      <c r="L178" s="6" t="s">
        <v>34</v>
      </c>
      <c r="M178" s="6" t="s">
        <v>35</v>
      </c>
      <c r="N178" s="6" t="s">
        <v>779</v>
      </c>
      <c r="O178" s="6" t="s">
        <v>780</v>
      </c>
      <c r="P178" s="6" t="s">
        <v>781</v>
      </c>
      <c r="T178" s="6" t="s">
        <v>794</v>
      </c>
      <c r="U178" s="7">
        <f t="shared" si="13"/>
        <v>45713</v>
      </c>
      <c r="V178" s="6">
        <f t="shared" si="14"/>
        <v>9</v>
      </c>
      <c r="W178" s="8" t="str">
        <f t="shared" si="15"/>
        <v>16:00</v>
      </c>
      <c r="X178" s="8" t="str">
        <f t="shared" si="16"/>
        <v>20:00</v>
      </c>
      <c r="Y178" s="9">
        <f t="shared" si="17"/>
        <v>0.16666666666666674</v>
      </c>
      <c r="Z178" s="22" t="str">
        <f t="shared" si="18"/>
        <v>2025-02-25 화 (16:00~20:00) : 4시간</v>
      </c>
      <c r="AA178" s="22"/>
      <c r="AB178" s="6" t="str">
        <f ca="1">_xlfn.XLOOKUP(I178, 기초데이터!$C$2:$C$305, 기초데이터!$U$2:$U$305)</f>
        <v>lsr@neurophet.com</v>
      </c>
    </row>
    <row r="179" spans="1:28" x14ac:dyDescent="0.3">
      <c r="A179" s="6">
        <f>SUBTOTAL(3,$I$2:I179)*1</f>
        <v>178</v>
      </c>
      <c r="B179" s="21" t="s">
        <v>362</v>
      </c>
      <c r="C179" s="6" t="s">
        <v>795</v>
      </c>
      <c r="D179" s="6">
        <v>1</v>
      </c>
      <c r="E179" s="6" t="s">
        <v>53</v>
      </c>
      <c r="F179" s="6">
        <v>0</v>
      </c>
      <c r="G179" s="6" t="s">
        <v>399</v>
      </c>
      <c r="H179" s="6" t="s">
        <v>30</v>
      </c>
      <c r="I179" s="6" t="s">
        <v>659</v>
      </c>
      <c r="K179" s="6" t="s">
        <v>33</v>
      </c>
      <c r="L179" s="6" t="s">
        <v>34</v>
      </c>
      <c r="M179" s="6" t="s">
        <v>35</v>
      </c>
      <c r="N179" s="6" t="s">
        <v>702</v>
      </c>
      <c r="O179" s="6" t="s">
        <v>796</v>
      </c>
      <c r="P179" s="6" t="s">
        <v>797</v>
      </c>
      <c r="T179" s="6" t="s">
        <v>798</v>
      </c>
      <c r="U179" s="7">
        <f t="shared" si="13"/>
        <v>45713</v>
      </c>
      <c r="V179" s="6">
        <f t="shared" si="14"/>
        <v>9</v>
      </c>
      <c r="W179" s="8" t="str">
        <f t="shared" si="15"/>
        <v>17:00</v>
      </c>
      <c r="X179" s="8" t="str">
        <f t="shared" si="16"/>
        <v>21:00</v>
      </c>
      <c r="Y179" s="9">
        <f t="shared" si="17"/>
        <v>0.16666666666666663</v>
      </c>
      <c r="Z179" s="22" t="str">
        <f t="shared" si="18"/>
        <v>2025-02-25 화 (17:00~21:00) : 4시간</v>
      </c>
      <c r="AA179" s="22"/>
      <c r="AB179" s="6" t="str">
        <f ca="1">_xlfn.XLOOKUP(I179, 기초데이터!$C$2:$C$305, 기초데이터!$U$2:$U$305)</f>
        <v>sikang@neurophet.com</v>
      </c>
    </row>
    <row r="180" spans="1:28" x14ac:dyDescent="0.3">
      <c r="A180" s="6">
        <f>SUBTOTAL(3,$I$2:I180)*1</f>
        <v>179</v>
      </c>
      <c r="B180" s="21" t="s">
        <v>362</v>
      </c>
      <c r="C180" s="6" t="s">
        <v>799</v>
      </c>
      <c r="D180" s="6">
        <v>1</v>
      </c>
      <c r="E180" s="6" t="s">
        <v>443</v>
      </c>
      <c r="F180" s="6">
        <v>0</v>
      </c>
      <c r="G180" s="6" t="s">
        <v>148</v>
      </c>
      <c r="H180" s="6" t="s">
        <v>30</v>
      </c>
      <c r="I180" s="6" t="s">
        <v>348</v>
      </c>
      <c r="J180" s="6" t="s">
        <v>349</v>
      </c>
      <c r="K180" s="6" t="s">
        <v>33</v>
      </c>
      <c r="L180" s="6" t="s">
        <v>34</v>
      </c>
      <c r="M180" s="6" t="s">
        <v>35</v>
      </c>
      <c r="N180" s="6" t="s">
        <v>800</v>
      </c>
      <c r="O180" s="6" t="s">
        <v>801</v>
      </c>
      <c r="P180" s="6" t="s">
        <v>802</v>
      </c>
      <c r="T180" s="6" t="s">
        <v>803</v>
      </c>
      <c r="U180" s="7">
        <f t="shared" si="13"/>
        <v>45713</v>
      </c>
      <c r="V180" s="6">
        <f t="shared" si="14"/>
        <v>9</v>
      </c>
      <c r="W180" s="8" t="str">
        <f t="shared" si="15"/>
        <v>17:19</v>
      </c>
      <c r="X180" s="8" t="str">
        <f t="shared" si="16"/>
        <v>19:04</v>
      </c>
      <c r="Y180" s="9">
        <f t="shared" si="17"/>
        <v>7.291666666666663E-2</v>
      </c>
      <c r="Z180" s="22" t="str">
        <f t="shared" si="18"/>
        <v>2025-02-25 화 (17:19~19:04) : 1시간 45분</v>
      </c>
      <c r="AA180" s="22"/>
      <c r="AB180" s="6" t="str">
        <f ca="1">_xlfn.XLOOKUP(I180, 기초데이터!$C$2:$C$305, 기초데이터!$U$2:$U$305)</f>
        <v>cwseo@neurophet.com</v>
      </c>
    </row>
    <row r="181" spans="1:28" x14ac:dyDescent="0.3">
      <c r="A181" s="6">
        <f>SUBTOTAL(3,$I$2:I181)*1</f>
        <v>180</v>
      </c>
      <c r="B181" s="21" t="s">
        <v>362</v>
      </c>
      <c r="C181" s="6" t="s">
        <v>804</v>
      </c>
      <c r="D181" s="6">
        <v>1</v>
      </c>
      <c r="E181" s="6" t="s">
        <v>53</v>
      </c>
      <c r="F181" s="6">
        <v>0</v>
      </c>
      <c r="G181" s="6" t="s">
        <v>131</v>
      </c>
      <c r="H181" s="6" t="s">
        <v>56</v>
      </c>
      <c r="I181" s="6" t="s">
        <v>132</v>
      </c>
      <c r="J181" s="6" t="s">
        <v>133</v>
      </c>
      <c r="K181" s="6" t="s">
        <v>33</v>
      </c>
      <c r="L181" s="6" t="s">
        <v>34</v>
      </c>
      <c r="M181" s="6" t="s">
        <v>35</v>
      </c>
      <c r="N181" s="6" t="s">
        <v>702</v>
      </c>
      <c r="O181" s="6" t="s">
        <v>805</v>
      </c>
      <c r="P181" s="6" t="s">
        <v>806</v>
      </c>
      <c r="T181" s="6" t="s">
        <v>807</v>
      </c>
      <c r="U181" s="7">
        <f t="shared" si="13"/>
        <v>45713</v>
      </c>
      <c r="V181" s="6">
        <f t="shared" si="14"/>
        <v>9</v>
      </c>
      <c r="W181" s="8" t="str">
        <f t="shared" si="15"/>
        <v>17:30</v>
      </c>
      <c r="X181" s="8" t="str">
        <f t="shared" si="16"/>
        <v>21:30</v>
      </c>
      <c r="Y181" s="9">
        <f t="shared" si="17"/>
        <v>0.16666666666666674</v>
      </c>
      <c r="Z181" s="22" t="str">
        <f t="shared" si="18"/>
        <v>2025-02-25 화 (17:30~21:30) : 4시간</v>
      </c>
      <c r="AA181" s="22"/>
      <c r="AB181" s="6" t="str">
        <f ca="1">_xlfn.XLOOKUP(I181, 기초데이터!$C$2:$C$305, 기초데이터!$U$2:$U$305)</f>
        <v>kelly.seo@neurophet.com</v>
      </c>
    </row>
    <row r="182" spans="1:28" x14ac:dyDescent="0.3">
      <c r="A182" s="6">
        <f>SUBTOTAL(3,$I$2:I182)*1</f>
        <v>181</v>
      </c>
      <c r="B182" s="21" t="s">
        <v>362</v>
      </c>
      <c r="C182" s="6" t="s">
        <v>808</v>
      </c>
      <c r="D182" s="6">
        <v>1</v>
      </c>
      <c r="E182" s="6" t="s">
        <v>70</v>
      </c>
      <c r="F182" s="6">
        <v>0</v>
      </c>
      <c r="G182" s="6" t="s">
        <v>399</v>
      </c>
      <c r="H182" s="6" t="s">
        <v>56</v>
      </c>
      <c r="I182" s="6" t="s">
        <v>420</v>
      </c>
      <c r="J182" s="6" t="s">
        <v>421</v>
      </c>
      <c r="K182" s="6" t="s">
        <v>33</v>
      </c>
      <c r="L182" s="6" t="s">
        <v>34</v>
      </c>
      <c r="M182" s="6" t="s">
        <v>35</v>
      </c>
      <c r="N182" s="6" t="s">
        <v>702</v>
      </c>
      <c r="O182" s="6" t="s">
        <v>809</v>
      </c>
      <c r="P182" s="6" t="s">
        <v>810</v>
      </c>
      <c r="T182" s="6" t="s">
        <v>485</v>
      </c>
      <c r="U182" s="7">
        <f t="shared" si="13"/>
        <v>45713</v>
      </c>
      <c r="V182" s="6">
        <f t="shared" si="14"/>
        <v>9</v>
      </c>
      <c r="W182" s="8" t="str">
        <f t="shared" si="15"/>
        <v>18:27</v>
      </c>
      <c r="X182" s="8" t="str">
        <f t="shared" si="16"/>
        <v>21:38</v>
      </c>
      <c r="Y182" s="9">
        <f t="shared" si="17"/>
        <v>0.13263888888888886</v>
      </c>
      <c r="Z182" s="22" t="str">
        <f t="shared" si="18"/>
        <v>2025-02-25 화 (18:27~21:38) : 3시간 11분</v>
      </c>
      <c r="AA182" s="22"/>
      <c r="AB182" s="6" t="str">
        <f ca="1">_xlfn.XLOOKUP(I182, 기초데이터!$C$2:$C$305, 기초데이터!$U$2:$U$305)</f>
        <v>manjae.jeon@neurophet.com</v>
      </c>
    </row>
    <row r="183" spans="1:28" x14ac:dyDescent="0.3">
      <c r="A183" s="6">
        <f>SUBTOTAL(3,$I$2:I183)*1</f>
        <v>182</v>
      </c>
      <c r="B183" s="21" t="s">
        <v>362</v>
      </c>
      <c r="C183" s="6" t="s">
        <v>811</v>
      </c>
      <c r="D183" s="6">
        <v>1</v>
      </c>
      <c r="E183" s="6" t="s">
        <v>303</v>
      </c>
      <c r="F183" s="6">
        <v>0</v>
      </c>
      <c r="G183" s="6" t="s">
        <v>238</v>
      </c>
      <c r="H183" s="6" t="s">
        <v>30</v>
      </c>
      <c r="I183" s="6" t="s">
        <v>724</v>
      </c>
      <c r="J183" s="6" t="s">
        <v>725</v>
      </c>
      <c r="K183" s="6" t="s">
        <v>33</v>
      </c>
      <c r="L183" s="6" t="s">
        <v>34</v>
      </c>
      <c r="M183" s="6" t="s">
        <v>35</v>
      </c>
      <c r="N183" s="6" t="s">
        <v>812</v>
      </c>
      <c r="O183" s="6" t="s">
        <v>813</v>
      </c>
      <c r="P183" s="6" t="s">
        <v>814</v>
      </c>
      <c r="T183" s="6" t="s">
        <v>815</v>
      </c>
      <c r="U183" s="7">
        <f t="shared" si="13"/>
        <v>45713</v>
      </c>
      <c r="V183" s="6">
        <f t="shared" si="14"/>
        <v>9</v>
      </c>
      <c r="W183" s="8" t="str">
        <f t="shared" si="15"/>
        <v>20:19</v>
      </c>
      <c r="X183" s="8" t="str">
        <f t="shared" si="16"/>
        <v>22:27</v>
      </c>
      <c r="Y183" s="9">
        <f t="shared" si="17"/>
        <v>8.8888888888888906E-2</v>
      </c>
      <c r="Z183" s="22" t="str">
        <f t="shared" si="18"/>
        <v>2025-02-25 화 (20:19~22:27) : 2시간 8분</v>
      </c>
      <c r="AA183" s="22"/>
      <c r="AB183" s="6" t="str">
        <f ca="1">_xlfn.XLOOKUP(I183, 기초데이터!$C$2:$C$305, 기초데이터!$U$2:$U$305)</f>
        <v>minwoo@neurophet.com</v>
      </c>
    </row>
    <row r="184" spans="1:28" x14ac:dyDescent="0.3">
      <c r="A184" s="6">
        <f>SUBTOTAL(3,$I$2:I184)*1</f>
        <v>183</v>
      </c>
      <c r="B184" s="21" t="s">
        <v>362</v>
      </c>
      <c r="C184" s="6" t="s">
        <v>816</v>
      </c>
      <c r="D184" s="6">
        <v>1</v>
      </c>
      <c r="E184" s="6" t="s">
        <v>63</v>
      </c>
      <c r="F184" s="6">
        <v>0</v>
      </c>
      <c r="G184" s="6" t="s">
        <v>562</v>
      </c>
      <c r="H184" s="6" t="s">
        <v>30</v>
      </c>
      <c r="I184" s="6" t="s">
        <v>817</v>
      </c>
      <c r="J184" s="6" t="s">
        <v>818</v>
      </c>
      <c r="K184" s="6" t="s">
        <v>33</v>
      </c>
      <c r="L184" s="6" t="s">
        <v>34</v>
      </c>
      <c r="M184" s="6" t="s">
        <v>35</v>
      </c>
      <c r="N184" s="6" t="s">
        <v>812</v>
      </c>
      <c r="O184" s="6" t="s">
        <v>819</v>
      </c>
      <c r="P184" s="6" t="s">
        <v>820</v>
      </c>
      <c r="T184" s="6" t="s">
        <v>821</v>
      </c>
      <c r="U184" s="7">
        <f t="shared" si="13"/>
        <v>45714</v>
      </c>
      <c r="V184" s="6">
        <f t="shared" si="14"/>
        <v>9</v>
      </c>
      <c r="W184" s="8" t="str">
        <f t="shared" si="15"/>
        <v>16:00</v>
      </c>
      <c r="X184" s="8" t="str">
        <f t="shared" si="16"/>
        <v>19:00</v>
      </c>
      <c r="Y184" s="9">
        <f t="shared" si="17"/>
        <v>0.125</v>
      </c>
      <c r="Z184" s="22" t="str">
        <f t="shared" si="18"/>
        <v>2025-02-26 수 (16:00~19:00) : 3시간</v>
      </c>
      <c r="AA184" s="22"/>
      <c r="AB184" s="6" t="str">
        <f ca="1">_xlfn.XLOOKUP(I184, 기초데이터!$C$2:$C$305, 기초데이터!$U$2:$U$305)</f>
        <v>jaewook@neurophet.com</v>
      </c>
    </row>
    <row r="185" spans="1:28" x14ac:dyDescent="0.3">
      <c r="A185" s="6">
        <f>SUBTOTAL(3,$I$2:I185)*1</f>
        <v>184</v>
      </c>
      <c r="B185" s="21" t="s">
        <v>362</v>
      </c>
      <c r="C185" s="6" t="s">
        <v>822</v>
      </c>
      <c r="D185" s="6">
        <v>1</v>
      </c>
      <c r="E185" s="6" t="s">
        <v>53</v>
      </c>
      <c r="F185" s="6">
        <v>0</v>
      </c>
      <c r="G185" s="6" t="s">
        <v>283</v>
      </c>
      <c r="H185" s="6" t="s">
        <v>30</v>
      </c>
      <c r="I185" s="6" t="s">
        <v>284</v>
      </c>
      <c r="J185" s="6" t="s">
        <v>285</v>
      </c>
      <c r="K185" s="6" t="s">
        <v>33</v>
      </c>
      <c r="L185" s="6" t="s">
        <v>34</v>
      </c>
      <c r="M185" s="6" t="s">
        <v>35</v>
      </c>
      <c r="N185" s="6" t="s">
        <v>680</v>
      </c>
      <c r="O185" s="6" t="s">
        <v>681</v>
      </c>
      <c r="P185" s="6" t="s">
        <v>682</v>
      </c>
      <c r="T185" s="6" t="s">
        <v>823</v>
      </c>
      <c r="U185" s="7">
        <f t="shared" si="13"/>
        <v>45714</v>
      </c>
      <c r="V185" s="6">
        <f t="shared" si="14"/>
        <v>9</v>
      </c>
      <c r="W185" s="8" t="str">
        <f t="shared" si="15"/>
        <v>16:00</v>
      </c>
      <c r="X185" s="8" t="str">
        <f t="shared" si="16"/>
        <v>20:00</v>
      </c>
      <c r="Y185" s="9">
        <f t="shared" si="17"/>
        <v>0.16666666666666674</v>
      </c>
      <c r="Z185" s="22" t="str">
        <f t="shared" si="18"/>
        <v>2025-02-26 수 (16:00~20:00) : 4시간</v>
      </c>
      <c r="AA185" s="22"/>
      <c r="AB185" s="6" t="str">
        <f ca="1">_xlfn.XLOOKUP(I185, 기초데이터!$C$2:$C$305, 기초데이터!$U$2:$U$305)</f>
        <v>hmseong@neurophet.com</v>
      </c>
    </row>
    <row r="186" spans="1:28" x14ac:dyDescent="0.3">
      <c r="A186" s="6">
        <f>SUBTOTAL(3,$I$2:I186)*1</f>
        <v>185</v>
      </c>
      <c r="B186" s="21" t="s">
        <v>362</v>
      </c>
      <c r="C186" s="6" t="s">
        <v>824</v>
      </c>
      <c r="D186" s="6">
        <v>1</v>
      </c>
      <c r="E186" s="6" t="s">
        <v>825</v>
      </c>
      <c r="F186" s="6">
        <v>0</v>
      </c>
      <c r="G186" s="6" t="s">
        <v>364</v>
      </c>
      <c r="H186" s="6" t="s">
        <v>30</v>
      </c>
      <c r="I186" s="6" t="s">
        <v>365</v>
      </c>
      <c r="J186" s="6" t="s">
        <v>366</v>
      </c>
      <c r="K186" s="6" t="s">
        <v>33</v>
      </c>
      <c r="L186" s="6" t="s">
        <v>34</v>
      </c>
      <c r="M186" s="6" t="s">
        <v>35</v>
      </c>
      <c r="N186" s="6" t="s">
        <v>377</v>
      </c>
      <c r="O186" s="6" t="s">
        <v>378</v>
      </c>
      <c r="P186" s="6" t="s">
        <v>379</v>
      </c>
      <c r="T186" s="6" t="s">
        <v>380</v>
      </c>
      <c r="U186" s="7">
        <f t="shared" si="13"/>
        <v>45714</v>
      </c>
      <c r="V186" s="6">
        <f t="shared" si="14"/>
        <v>9</v>
      </c>
      <c r="W186" s="8" t="str">
        <f t="shared" si="15"/>
        <v>17:25</v>
      </c>
      <c r="X186" s="8" t="str">
        <f t="shared" si="16"/>
        <v>18:55</v>
      </c>
      <c r="Y186" s="9">
        <f t="shared" si="17"/>
        <v>6.25E-2</v>
      </c>
      <c r="Z186" s="22" t="str">
        <f t="shared" si="18"/>
        <v>2025-02-26 수 (17:25~18:55) : 1시간 30분</v>
      </c>
      <c r="AA186" s="22"/>
      <c r="AB186" s="6" t="str">
        <f ca="1">_xlfn.XLOOKUP(I186, 기초데이터!$C$2:$C$305, 기초데이터!$U$2:$U$305)</f>
        <v>noah@neurophet.com</v>
      </c>
    </row>
    <row r="187" spans="1:28" x14ac:dyDescent="0.3">
      <c r="A187" s="6">
        <f>SUBTOTAL(3,$I$2:I187)*1</f>
        <v>186</v>
      </c>
      <c r="B187" s="21" t="s">
        <v>362</v>
      </c>
      <c r="C187" s="6" t="s">
        <v>826</v>
      </c>
      <c r="D187" s="6">
        <v>1</v>
      </c>
      <c r="E187" s="6" t="s">
        <v>827</v>
      </c>
      <c r="F187" s="6">
        <v>0</v>
      </c>
      <c r="G187" s="6" t="s">
        <v>148</v>
      </c>
      <c r="H187" s="6" t="s">
        <v>30</v>
      </c>
      <c r="I187" s="6" t="s">
        <v>348</v>
      </c>
      <c r="J187" s="6" t="s">
        <v>349</v>
      </c>
      <c r="K187" s="6" t="s">
        <v>33</v>
      </c>
      <c r="L187" s="6" t="s">
        <v>34</v>
      </c>
      <c r="M187" s="6" t="s">
        <v>35</v>
      </c>
      <c r="N187" s="6" t="s">
        <v>800</v>
      </c>
      <c r="O187" s="6" t="s">
        <v>801</v>
      </c>
      <c r="P187" s="6" t="s">
        <v>802</v>
      </c>
      <c r="T187" s="6" t="s">
        <v>803</v>
      </c>
      <c r="U187" s="7">
        <f t="shared" si="13"/>
        <v>45714</v>
      </c>
      <c r="V187" s="6">
        <f t="shared" si="14"/>
        <v>9</v>
      </c>
      <c r="W187" s="8" t="str">
        <f t="shared" si="15"/>
        <v>17:37</v>
      </c>
      <c r="X187" s="8" t="str">
        <f t="shared" si="16"/>
        <v>19:03</v>
      </c>
      <c r="Y187" s="9">
        <f t="shared" si="17"/>
        <v>5.9722222222222232E-2</v>
      </c>
      <c r="Z187" s="22" t="str">
        <f t="shared" si="18"/>
        <v>2025-02-26 수 (17:37~19:03) : 1시간 26분</v>
      </c>
      <c r="AA187" s="22"/>
      <c r="AB187" s="6" t="str">
        <f ca="1">_xlfn.XLOOKUP(I187, 기초데이터!$C$2:$C$305, 기초데이터!$U$2:$U$305)</f>
        <v>cwseo@neurophet.com</v>
      </c>
    </row>
    <row r="188" spans="1:28" x14ac:dyDescent="0.3">
      <c r="A188" s="6">
        <f>SUBTOTAL(3,$I$2:I188)*1</f>
        <v>187</v>
      </c>
      <c r="B188" s="21" t="s">
        <v>362</v>
      </c>
      <c r="C188" s="6" t="s">
        <v>828</v>
      </c>
      <c r="D188" s="6">
        <v>1</v>
      </c>
      <c r="E188" s="6" t="s">
        <v>53</v>
      </c>
      <c r="F188" s="6">
        <v>0</v>
      </c>
      <c r="G188" s="6" t="s">
        <v>131</v>
      </c>
      <c r="H188" s="6" t="s">
        <v>56</v>
      </c>
      <c r="I188" s="6" t="s">
        <v>132</v>
      </c>
      <c r="J188" s="6" t="s">
        <v>133</v>
      </c>
      <c r="K188" s="6" t="s">
        <v>33</v>
      </c>
      <c r="L188" s="6" t="s">
        <v>34</v>
      </c>
      <c r="M188" s="6" t="s">
        <v>35</v>
      </c>
      <c r="N188" s="6" t="s">
        <v>812</v>
      </c>
      <c r="O188" s="6" t="s">
        <v>829</v>
      </c>
      <c r="P188" s="6" t="s">
        <v>830</v>
      </c>
      <c r="T188" s="6" t="s">
        <v>831</v>
      </c>
      <c r="U188" s="7">
        <f t="shared" si="13"/>
        <v>45715</v>
      </c>
      <c r="V188" s="6">
        <f t="shared" si="14"/>
        <v>9</v>
      </c>
      <c r="W188" s="8" t="str">
        <f t="shared" si="15"/>
        <v>17:30</v>
      </c>
      <c r="X188" s="8" t="str">
        <f t="shared" si="16"/>
        <v>21:30</v>
      </c>
      <c r="Y188" s="9">
        <f t="shared" si="17"/>
        <v>0.16666666666666674</v>
      </c>
      <c r="Z188" s="22" t="str">
        <f t="shared" si="18"/>
        <v>2025-02-27 목 (17:30~21:30) : 4시간</v>
      </c>
      <c r="AA188" s="22"/>
      <c r="AB188" s="6" t="str">
        <f ca="1">_xlfn.XLOOKUP(I188, 기초데이터!$C$2:$C$305, 기초데이터!$U$2:$U$305)</f>
        <v>kelly.seo@neurophet.com</v>
      </c>
    </row>
    <row r="189" spans="1:28" x14ac:dyDescent="0.3">
      <c r="A189" s="6">
        <f>SUBTOTAL(3,$I$2:I189)*1</f>
        <v>188</v>
      </c>
      <c r="B189" s="21" t="s">
        <v>362</v>
      </c>
      <c r="C189" s="6" t="s">
        <v>832</v>
      </c>
      <c r="D189" s="6">
        <v>1</v>
      </c>
      <c r="E189" s="6" t="s">
        <v>55</v>
      </c>
      <c r="F189" s="6">
        <v>0</v>
      </c>
      <c r="G189" s="6" t="s">
        <v>399</v>
      </c>
      <c r="H189" s="6" t="s">
        <v>30</v>
      </c>
      <c r="I189" s="6" t="s">
        <v>659</v>
      </c>
      <c r="K189" s="6" t="s">
        <v>33</v>
      </c>
      <c r="L189" s="6" t="s">
        <v>34</v>
      </c>
      <c r="M189" s="6" t="s">
        <v>35</v>
      </c>
      <c r="N189" s="6" t="s">
        <v>833</v>
      </c>
      <c r="O189" s="6" t="s">
        <v>834</v>
      </c>
      <c r="P189" s="6" t="s">
        <v>835</v>
      </c>
      <c r="T189" s="6" t="s">
        <v>836</v>
      </c>
      <c r="U189" s="7">
        <f t="shared" si="13"/>
        <v>45716</v>
      </c>
      <c r="V189" s="6">
        <f t="shared" si="14"/>
        <v>9</v>
      </c>
      <c r="W189" s="8" t="str">
        <f t="shared" si="15"/>
        <v>17:00</v>
      </c>
      <c r="X189" s="8" t="str">
        <f t="shared" si="16"/>
        <v>19:30</v>
      </c>
      <c r="Y189" s="9">
        <f t="shared" si="17"/>
        <v>0.10416666666666663</v>
      </c>
      <c r="Z189" s="22" t="str">
        <f t="shared" si="18"/>
        <v>2025-02-28 금 (17:00~19:30) : 2시간 30분</v>
      </c>
      <c r="AA189" s="22"/>
      <c r="AB189" s="6" t="str">
        <f ca="1">_xlfn.XLOOKUP(I189, 기초데이터!$C$2:$C$305, 기초데이터!$U$2:$U$305)</f>
        <v>sikang@neurophet.com</v>
      </c>
    </row>
    <row r="190" spans="1:28" x14ac:dyDescent="0.3">
      <c r="A190" s="6">
        <f>SUBTOTAL(3,$I$2:I190)*1</f>
        <v>189</v>
      </c>
      <c r="B190" s="21" t="s">
        <v>362</v>
      </c>
      <c r="C190" s="6" t="s">
        <v>837</v>
      </c>
      <c r="D190" s="6">
        <v>1</v>
      </c>
      <c r="E190" s="6" t="s">
        <v>347</v>
      </c>
      <c r="F190" s="6">
        <v>0</v>
      </c>
      <c r="G190" s="6" t="s">
        <v>364</v>
      </c>
      <c r="H190" s="6" t="s">
        <v>30</v>
      </c>
      <c r="I190" s="6" t="s">
        <v>365</v>
      </c>
      <c r="J190" s="6" t="s">
        <v>366</v>
      </c>
      <c r="K190" s="6" t="s">
        <v>33</v>
      </c>
      <c r="L190" s="6" t="s">
        <v>34</v>
      </c>
      <c r="M190" s="6" t="s">
        <v>35</v>
      </c>
      <c r="N190" s="6" t="s">
        <v>377</v>
      </c>
      <c r="O190" s="6" t="s">
        <v>378</v>
      </c>
      <c r="P190" s="6" t="s">
        <v>379</v>
      </c>
      <c r="T190" s="6" t="s">
        <v>380</v>
      </c>
      <c r="U190" s="7">
        <f t="shared" si="13"/>
        <v>45716</v>
      </c>
      <c r="V190" s="6">
        <f t="shared" si="14"/>
        <v>9</v>
      </c>
      <c r="W190" s="8" t="str">
        <f t="shared" si="15"/>
        <v>17:24</v>
      </c>
      <c r="X190" s="8" t="str">
        <f t="shared" si="16"/>
        <v>18:58</v>
      </c>
      <c r="Y190" s="9">
        <f t="shared" si="17"/>
        <v>6.5277777777777768E-2</v>
      </c>
      <c r="Z190" s="22" t="str">
        <f t="shared" si="18"/>
        <v>2025-02-28 금 (17:24~18:58) : 1시간 34분</v>
      </c>
      <c r="AA190" s="22"/>
      <c r="AB190" s="6" t="str">
        <f ca="1">_xlfn.XLOOKUP(I190, 기초데이터!$C$2:$C$305, 기초데이터!$U$2:$U$305)</f>
        <v>noah@neurophet.com</v>
      </c>
    </row>
    <row r="191" spans="1:28" x14ac:dyDescent="0.3">
      <c r="A191" s="6">
        <f>SUBTOTAL(3,$I$2:I191)*1</f>
        <v>190</v>
      </c>
      <c r="B191" s="21" t="s">
        <v>362</v>
      </c>
      <c r="C191" s="6" t="s">
        <v>838</v>
      </c>
      <c r="D191" s="6">
        <v>1</v>
      </c>
      <c r="E191" s="6" t="s">
        <v>128</v>
      </c>
      <c r="F191" s="6">
        <v>0</v>
      </c>
      <c r="G191" s="6" t="s">
        <v>340</v>
      </c>
      <c r="H191" s="6" t="s">
        <v>30</v>
      </c>
      <c r="I191" s="6" t="s">
        <v>839</v>
      </c>
      <c r="J191" s="6" t="s">
        <v>840</v>
      </c>
      <c r="K191" s="6" t="s">
        <v>33</v>
      </c>
      <c r="L191" s="6" t="s">
        <v>34</v>
      </c>
      <c r="M191" s="6" t="s">
        <v>35</v>
      </c>
      <c r="N191" s="6" t="s">
        <v>740</v>
      </c>
      <c r="O191" s="6" t="s">
        <v>841</v>
      </c>
      <c r="P191" s="6" t="s">
        <v>842</v>
      </c>
      <c r="T191" s="6" t="s">
        <v>843</v>
      </c>
      <c r="U191" s="7">
        <f t="shared" si="13"/>
        <v>45716</v>
      </c>
      <c r="V191" s="6">
        <f t="shared" si="14"/>
        <v>9</v>
      </c>
      <c r="W191" s="8" t="str">
        <f t="shared" si="15"/>
        <v>18:08</v>
      </c>
      <c r="X191" s="8" t="str">
        <f t="shared" si="16"/>
        <v>20:08</v>
      </c>
      <c r="Y191" s="9">
        <f t="shared" si="17"/>
        <v>8.333333333333337E-2</v>
      </c>
      <c r="Z191" s="22" t="str">
        <f t="shared" si="18"/>
        <v>2025-02-28 금 (18:08~20:08) : 2시간</v>
      </c>
      <c r="AA191" s="22"/>
      <c r="AB191" s="6" t="str">
        <f ca="1">_xlfn.XLOOKUP(I191, 기초데이터!$C$2:$C$305, 기초데이터!$U$2:$U$305)</f>
        <v>junhyuk@neurophet.com</v>
      </c>
    </row>
    <row r="192" spans="1:28" x14ac:dyDescent="0.3">
      <c r="A192" s="6">
        <f>SUBTOTAL(3,$I$2:I192)*1</f>
        <v>191</v>
      </c>
      <c r="B192" s="21" t="s">
        <v>25</v>
      </c>
      <c r="C192" s="6" t="s">
        <v>844</v>
      </c>
      <c r="D192" s="6">
        <v>1</v>
      </c>
      <c r="E192" s="6" t="s">
        <v>218</v>
      </c>
      <c r="F192" s="6">
        <v>0</v>
      </c>
      <c r="G192" s="6" t="s">
        <v>139</v>
      </c>
      <c r="H192" s="6" t="s">
        <v>30</v>
      </c>
      <c r="I192" s="6" t="s">
        <v>547</v>
      </c>
      <c r="J192" s="6" t="s">
        <v>548</v>
      </c>
      <c r="K192" s="6" t="s">
        <v>33</v>
      </c>
      <c r="L192" s="6" t="s">
        <v>34</v>
      </c>
      <c r="M192" s="6" t="s">
        <v>35</v>
      </c>
      <c r="N192" s="6" t="s">
        <v>845</v>
      </c>
      <c r="O192" s="6" t="s">
        <v>846</v>
      </c>
      <c r="P192" s="6" t="s">
        <v>847</v>
      </c>
      <c r="T192" s="6" t="s">
        <v>848</v>
      </c>
      <c r="U192" s="7">
        <f t="shared" si="13"/>
        <v>45713</v>
      </c>
      <c r="V192" s="6">
        <f t="shared" si="14"/>
        <v>9</v>
      </c>
      <c r="W192" s="8" t="str">
        <f t="shared" si="15"/>
        <v>19:21</v>
      </c>
      <c r="X192" s="8" t="str">
        <f t="shared" si="16"/>
        <v>21:43</v>
      </c>
      <c r="Y192" s="9">
        <f t="shared" si="17"/>
        <v>9.8611111111111094E-2</v>
      </c>
      <c r="Z192" s="22" t="str">
        <f t="shared" si="18"/>
        <v>2025-02-25 화 (19:21~21:43) : 2시간 22분</v>
      </c>
      <c r="AA192" s="22"/>
      <c r="AB192" s="6" t="str">
        <f ca="1">_xlfn.XLOOKUP(I192, 기초데이터!$C$2:$C$305, 기초데이터!$U$2:$U$305)</f>
        <v>sgkang@neurophet.com</v>
      </c>
    </row>
    <row r="193" spans="1:28" x14ac:dyDescent="0.3">
      <c r="A193" s="6">
        <f>SUBTOTAL(3,$I$2:I193)*1</f>
        <v>192</v>
      </c>
      <c r="B193" s="21" t="s">
        <v>25</v>
      </c>
      <c r="C193" s="6" t="s">
        <v>849</v>
      </c>
      <c r="D193" s="6">
        <v>1</v>
      </c>
      <c r="E193" s="6" t="s">
        <v>128</v>
      </c>
      <c r="F193" s="6">
        <v>0</v>
      </c>
      <c r="G193" s="6" t="s">
        <v>850</v>
      </c>
      <c r="H193" s="6" t="s">
        <v>30</v>
      </c>
      <c r="I193" s="6" t="s">
        <v>851</v>
      </c>
      <c r="J193" s="6" t="s">
        <v>852</v>
      </c>
      <c r="K193" s="6" t="s">
        <v>33</v>
      </c>
      <c r="L193" s="6" t="s">
        <v>34</v>
      </c>
      <c r="M193" s="6" t="s">
        <v>35</v>
      </c>
      <c r="N193" s="6" t="s">
        <v>853</v>
      </c>
      <c r="O193" s="6" t="s">
        <v>854</v>
      </c>
      <c r="P193" s="6" t="s">
        <v>855</v>
      </c>
      <c r="T193" s="6" t="s">
        <v>856</v>
      </c>
      <c r="U193" s="7">
        <f t="shared" si="13"/>
        <v>45747</v>
      </c>
      <c r="V193" s="6">
        <f t="shared" si="14"/>
        <v>14</v>
      </c>
      <c r="W193" s="8" t="str">
        <f t="shared" si="15"/>
        <v>17:27</v>
      </c>
      <c r="X193" s="8" t="str">
        <f t="shared" si="16"/>
        <v>19:27</v>
      </c>
      <c r="Y193" s="9">
        <f t="shared" si="17"/>
        <v>8.333333333333337E-2</v>
      </c>
      <c r="Z193" s="22" t="str">
        <f t="shared" si="18"/>
        <v>2025-03-31 월 (17:27~19:27) : 2시간</v>
      </c>
      <c r="AA193" s="22"/>
      <c r="AB193" s="6" t="str">
        <f ca="1">_xlfn.XLOOKUP(I193, 기초데이터!$C$2:$C$305, 기초데이터!$U$2:$U$305)</f>
        <v>yeonghun@neurophet.com</v>
      </c>
    </row>
    <row r="194" spans="1:28" x14ac:dyDescent="0.3">
      <c r="A194" s="6">
        <f>SUBTOTAL(3,$I$2:I194)*1</f>
        <v>193</v>
      </c>
      <c r="B194" s="21" t="s">
        <v>25</v>
      </c>
      <c r="C194" s="6" t="s">
        <v>857</v>
      </c>
      <c r="D194" s="6">
        <v>1</v>
      </c>
      <c r="E194" s="6" t="s">
        <v>70</v>
      </c>
      <c r="F194" s="6">
        <v>0</v>
      </c>
      <c r="G194" s="6" t="s">
        <v>399</v>
      </c>
      <c r="H194" s="6" t="s">
        <v>56</v>
      </c>
      <c r="I194" s="6" t="s">
        <v>420</v>
      </c>
      <c r="J194" s="6" t="s">
        <v>421</v>
      </c>
      <c r="K194" s="6" t="s">
        <v>33</v>
      </c>
      <c r="L194" s="6" t="s">
        <v>34</v>
      </c>
      <c r="M194" s="6" t="s">
        <v>35</v>
      </c>
      <c r="N194" s="6" t="s">
        <v>853</v>
      </c>
      <c r="O194" s="6" t="s">
        <v>858</v>
      </c>
      <c r="P194" s="6" t="s">
        <v>859</v>
      </c>
      <c r="T194" s="6" t="s">
        <v>424</v>
      </c>
      <c r="U194" s="7">
        <f t="shared" ref="U194:U202" si="19">DATEVALUE(LEFT(C194,10))</f>
        <v>45747</v>
      </c>
      <c r="V194" s="6">
        <f t="shared" ref="V194:V202" si="20">WEEKNUM(U194,21)</f>
        <v>14</v>
      </c>
      <c r="W194" s="8" t="str">
        <f t="shared" ref="W194:W202" si="21">MID(C194,12,5)</f>
        <v>18:25</v>
      </c>
      <c r="X194" s="8" t="str">
        <f t="shared" ref="X194:X202" si="22">MID(C194,32,5)</f>
        <v>21:36</v>
      </c>
      <c r="Y194" s="9">
        <f t="shared" ref="Y194:Y202" si="23">X194-W194</f>
        <v>0.13263888888888886</v>
      </c>
      <c r="Z194" s="22" t="str">
        <f t="shared" si="18"/>
        <v>2025-03-31 월 (18:25~21:36) : 3시간 11분</v>
      </c>
      <c r="AA194" s="22"/>
      <c r="AB194" s="6" t="str">
        <f ca="1">_xlfn.XLOOKUP(I194, 기초데이터!$C$2:$C$305, 기초데이터!$U$2:$U$305)</f>
        <v>manjae.jeon@neurophet.com</v>
      </c>
    </row>
    <row r="195" spans="1:28" x14ac:dyDescent="0.3">
      <c r="A195" s="6">
        <f>SUBTOTAL(3,$I$2:I195)*1</f>
        <v>194</v>
      </c>
      <c r="B195" s="21" t="s">
        <v>25</v>
      </c>
      <c r="C195" s="6" t="s">
        <v>860</v>
      </c>
      <c r="D195" s="6">
        <v>1</v>
      </c>
      <c r="E195" s="6" t="s">
        <v>70</v>
      </c>
      <c r="F195" s="6">
        <v>0</v>
      </c>
      <c r="G195" s="6" t="s">
        <v>167</v>
      </c>
      <c r="H195" s="6" t="s">
        <v>30</v>
      </c>
      <c r="I195" s="6" t="s">
        <v>304</v>
      </c>
      <c r="J195" s="6" t="s">
        <v>305</v>
      </c>
      <c r="K195" s="6" t="s">
        <v>33</v>
      </c>
      <c r="L195" s="6" t="s">
        <v>34</v>
      </c>
      <c r="M195" s="6" t="s">
        <v>35</v>
      </c>
      <c r="N195" s="6" t="s">
        <v>861</v>
      </c>
      <c r="O195" s="6" t="s">
        <v>862</v>
      </c>
      <c r="P195" s="6" t="s">
        <v>863</v>
      </c>
      <c r="T195" s="6" t="s">
        <v>864</v>
      </c>
      <c r="U195" s="7">
        <f t="shared" si="19"/>
        <v>45747</v>
      </c>
      <c r="V195" s="6">
        <f t="shared" si="20"/>
        <v>14</v>
      </c>
      <c r="W195" s="8" t="str">
        <f t="shared" si="21"/>
        <v>18:01</v>
      </c>
      <c r="X195" s="8" t="str">
        <f t="shared" si="22"/>
        <v>21:15</v>
      </c>
      <c r="Y195" s="9">
        <f t="shared" si="23"/>
        <v>0.13472222222222219</v>
      </c>
      <c r="Z195" s="22" t="str">
        <f t="shared" ref="Z195:Z258" si="24">TEXT(U195, "YYYY-MM-DD aaa")&amp;" ("&amp;TEXT(W195, "hh:mm")&amp;"~"&amp;TEXT(X195, "hh:mm")&amp;") : "&amp;IF(MINUTE(Y195)=0, TEXT(Y195, "h시간"), TEXT(Y195, "h시간 m분"))</f>
        <v>2025-03-31 월 (18:01~21:15) : 3시간 14분</v>
      </c>
      <c r="AA195" s="22"/>
      <c r="AB195" s="6" t="str">
        <f ca="1">_xlfn.XLOOKUP(I195, 기초데이터!$C$2:$C$305, 기초데이터!$U$2:$U$305)</f>
        <v>hnjang@neurophet.com</v>
      </c>
    </row>
    <row r="196" spans="1:28" x14ac:dyDescent="0.3">
      <c r="A196" s="6">
        <f>SUBTOTAL(3,$I$2:I196)*1</f>
        <v>195</v>
      </c>
      <c r="B196" s="21" t="s">
        <v>25</v>
      </c>
      <c r="C196" s="6" t="s">
        <v>865</v>
      </c>
      <c r="D196" s="6">
        <v>1</v>
      </c>
      <c r="E196" s="6" t="s">
        <v>41</v>
      </c>
      <c r="F196" s="6">
        <v>0</v>
      </c>
      <c r="G196" s="6" t="s">
        <v>167</v>
      </c>
      <c r="H196" s="6" t="s">
        <v>30</v>
      </c>
      <c r="I196" s="6" t="s">
        <v>219</v>
      </c>
      <c r="J196" s="6" t="s">
        <v>220</v>
      </c>
      <c r="K196" s="6" t="s">
        <v>33</v>
      </c>
      <c r="L196" s="6" t="s">
        <v>34</v>
      </c>
      <c r="M196" s="6" t="s">
        <v>35</v>
      </c>
      <c r="N196" s="6" t="s">
        <v>861</v>
      </c>
      <c r="O196" s="6" t="s">
        <v>866</v>
      </c>
      <c r="P196" s="6" t="s">
        <v>867</v>
      </c>
      <c r="T196" s="6" t="s">
        <v>868</v>
      </c>
      <c r="U196" s="7">
        <f t="shared" si="19"/>
        <v>45747</v>
      </c>
      <c r="V196" s="6">
        <f t="shared" si="20"/>
        <v>14</v>
      </c>
      <c r="W196" s="8" t="str">
        <f t="shared" si="21"/>
        <v>16:04</v>
      </c>
      <c r="X196" s="8" t="str">
        <f t="shared" si="22"/>
        <v>18:19</v>
      </c>
      <c r="Y196" s="9">
        <f t="shared" si="23"/>
        <v>9.375E-2</v>
      </c>
      <c r="Z196" s="22" t="str">
        <f t="shared" si="24"/>
        <v>2025-03-31 월 (16:04~18:19) : 2시간 15분</v>
      </c>
      <c r="AA196" s="22"/>
      <c r="AB196" s="6" t="str">
        <f ca="1">_xlfn.XLOOKUP(I196, 기초데이터!$C$2:$C$305, 기초데이터!$U$2:$U$305)</f>
        <v>youngji.song@neurophet.com</v>
      </c>
    </row>
    <row r="197" spans="1:28" x14ac:dyDescent="0.3">
      <c r="A197" s="6">
        <f>SUBTOTAL(3,$I$2:I197)*1</f>
        <v>196</v>
      </c>
      <c r="B197" s="21" t="s">
        <v>25</v>
      </c>
      <c r="C197" s="6" t="s">
        <v>869</v>
      </c>
      <c r="D197" s="6">
        <v>1</v>
      </c>
      <c r="E197" s="6" t="s">
        <v>147</v>
      </c>
      <c r="F197" s="6">
        <v>0</v>
      </c>
      <c r="G197" s="6" t="s">
        <v>148</v>
      </c>
      <c r="H197" s="6" t="s">
        <v>30</v>
      </c>
      <c r="I197" s="6" t="s">
        <v>149</v>
      </c>
      <c r="J197" s="6" t="s">
        <v>150</v>
      </c>
      <c r="K197" s="6" t="s">
        <v>33</v>
      </c>
      <c r="L197" s="6" t="s">
        <v>34</v>
      </c>
      <c r="M197" s="6" t="s">
        <v>35</v>
      </c>
      <c r="N197" s="6" t="s">
        <v>853</v>
      </c>
      <c r="O197" s="6" t="s">
        <v>870</v>
      </c>
      <c r="P197" s="6" t="s">
        <v>871</v>
      </c>
      <c r="T197" s="6" t="s">
        <v>872</v>
      </c>
      <c r="U197" s="7">
        <f t="shared" si="19"/>
        <v>45745</v>
      </c>
      <c r="V197" s="6">
        <f t="shared" si="20"/>
        <v>13</v>
      </c>
      <c r="W197" s="8" t="str">
        <f t="shared" si="21"/>
        <v>09:41</v>
      </c>
      <c r="X197" s="8" t="str">
        <f t="shared" si="22"/>
        <v>15:00</v>
      </c>
      <c r="Y197" s="9">
        <f t="shared" si="23"/>
        <v>0.22152777777777777</v>
      </c>
      <c r="Z197" s="22" t="str">
        <f t="shared" si="24"/>
        <v>2025-03-29 토 (09:41~15:00) : 5시간 19분</v>
      </c>
      <c r="AA197" s="22"/>
      <c r="AB197" s="6" t="str">
        <f ca="1">_xlfn.XLOOKUP(I197, 기초데이터!$C$2:$C$305, 기초데이터!$U$2:$U$305)</f>
        <v>sjsj0331@neurophet.com</v>
      </c>
    </row>
    <row r="198" spans="1:28" x14ac:dyDescent="0.3">
      <c r="A198" s="6">
        <f>SUBTOTAL(3,$I$2:I198)*1</f>
        <v>197</v>
      </c>
      <c r="B198" s="21" t="s">
        <v>25</v>
      </c>
      <c r="C198" s="6" t="s">
        <v>873</v>
      </c>
      <c r="D198" s="6">
        <v>1</v>
      </c>
      <c r="E198" s="6" t="s">
        <v>128</v>
      </c>
      <c r="F198" s="6">
        <v>0</v>
      </c>
      <c r="G198" s="6" t="s">
        <v>131</v>
      </c>
      <c r="H198" s="6" t="s">
        <v>56</v>
      </c>
      <c r="I198" s="6" t="s">
        <v>132</v>
      </c>
      <c r="J198" s="6" t="s">
        <v>133</v>
      </c>
      <c r="K198" s="6" t="s">
        <v>33</v>
      </c>
      <c r="L198" s="6" t="s">
        <v>34</v>
      </c>
      <c r="M198" s="6" t="s">
        <v>35</v>
      </c>
      <c r="N198" s="6" t="s">
        <v>874</v>
      </c>
      <c r="O198" s="6" t="s">
        <v>875</v>
      </c>
      <c r="P198" s="6" t="s">
        <v>876</v>
      </c>
      <c r="T198" s="6" t="s">
        <v>877</v>
      </c>
      <c r="U198" s="7">
        <f t="shared" si="19"/>
        <v>45744</v>
      </c>
      <c r="V198" s="6">
        <f t="shared" si="20"/>
        <v>13</v>
      </c>
      <c r="W198" s="8" t="str">
        <f t="shared" si="21"/>
        <v>17:30</v>
      </c>
      <c r="X198" s="8" t="str">
        <f t="shared" si="22"/>
        <v>19:30</v>
      </c>
      <c r="Y198" s="9">
        <f t="shared" si="23"/>
        <v>8.333333333333337E-2</v>
      </c>
      <c r="Z198" s="22" t="str">
        <f t="shared" si="24"/>
        <v>2025-03-28 금 (17:30~19:30) : 2시간</v>
      </c>
      <c r="AA198" s="22"/>
      <c r="AB198" s="6" t="str">
        <f ca="1">_xlfn.XLOOKUP(I198, 기초데이터!$C$2:$C$305, 기초데이터!$U$2:$U$305)</f>
        <v>kelly.seo@neurophet.com</v>
      </c>
    </row>
    <row r="199" spans="1:28" x14ac:dyDescent="0.3">
      <c r="A199" s="6">
        <f>SUBTOTAL(3,$I$2:I199)*1</f>
        <v>198</v>
      </c>
      <c r="B199" s="21" t="s">
        <v>25</v>
      </c>
      <c r="C199" s="6" t="s">
        <v>878</v>
      </c>
      <c r="D199" s="6">
        <v>1</v>
      </c>
      <c r="E199" s="6" t="s">
        <v>63</v>
      </c>
      <c r="F199" s="6">
        <v>0</v>
      </c>
      <c r="G199" s="6" t="s">
        <v>276</v>
      </c>
      <c r="H199" s="6" t="s">
        <v>30</v>
      </c>
      <c r="I199" s="6" t="s">
        <v>879</v>
      </c>
      <c r="J199" s="6" t="s">
        <v>880</v>
      </c>
      <c r="K199" s="6" t="s">
        <v>33</v>
      </c>
      <c r="L199" s="6" t="s">
        <v>34</v>
      </c>
      <c r="M199" s="6" t="s">
        <v>35</v>
      </c>
      <c r="N199" s="6" t="s">
        <v>874</v>
      </c>
      <c r="O199" s="6" t="s">
        <v>881</v>
      </c>
      <c r="P199" s="6" t="s">
        <v>882</v>
      </c>
      <c r="T199" s="6" t="s">
        <v>883</v>
      </c>
      <c r="U199" s="7">
        <f t="shared" si="19"/>
        <v>45744</v>
      </c>
      <c r="V199" s="6">
        <f t="shared" si="20"/>
        <v>13</v>
      </c>
      <c r="W199" s="8" t="str">
        <f t="shared" si="21"/>
        <v>18:20</v>
      </c>
      <c r="X199" s="8" t="str">
        <f t="shared" si="22"/>
        <v>21:23</v>
      </c>
      <c r="Y199" s="9">
        <f t="shared" si="23"/>
        <v>0.12708333333333344</v>
      </c>
      <c r="Z199" s="22" t="str">
        <f t="shared" si="24"/>
        <v>2025-03-28 금 (18:20~21:23) : 3시간 3분</v>
      </c>
      <c r="AA199" s="22"/>
      <c r="AB199" s="6" t="str">
        <f ca="1">_xlfn.XLOOKUP(I199, 기초데이터!$C$2:$C$305, 기초데이터!$U$2:$U$305)</f>
        <v>jwjeong@neurophet.com</v>
      </c>
    </row>
    <row r="200" spans="1:28" x14ac:dyDescent="0.3">
      <c r="A200" s="6">
        <f>SUBTOTAL(3,$I$2:I200)*1</f>
        <v>199</v>
      </c>
      <c r="B200" s="21" t="s">
        <v>25</v>
      </c>
      <c r="C200" s="6" t="s">
        <v>884</v>
      </c>
      <c r="D200" s="6">
        <v>1</v>
      </c>
      <c r="E200" s="6" t="s">
        <v>55</v>
      </c>
      <c r="F200" s="6">
        <v>0</v>
      </c>
      <c r="G200" s="6" t="s">
        <v>42</v>
      </c>
      <c r="H200" s="6" t="s">
        <v>30</v>
      </c>
      <c r="I200" s="6" t="s">
        <v>81</v>
      </c>
      <c r="J200" s="6" t="s">
        <v>82</v>
      </c>
      <c r="K200" s="6" t="s">
        <v>33</v>
      </c>
      <c r="L200" s="6" t="s">
        <v>34</v>
      </c>
      <c r="M200" s="6" t="s">
        <v>35</v>
      </c>
      <c r="N200" s="6" t="s">
        <v>861</v>
      </c>
      <c r="O200" s="6" t="s">
        <v>885</v>
      </c>
      <c r="P200" s="6" t="s">
        <v>886</v>
      </c>
      <c r="T200" s="6" t="s">
        <v>887</v>
      </c>
      <c r="U200" s="7">
        <f t="shared" si="19"/>
        <v>45744</v>
      </c>
      <c r="V200" s="6">
        <f t="shared" si="20"/>
        <v>13</v>
      </c>
      <c r="W200" s="8" t="str">
        <f t="shared" si="21"/>
        <v>16:29</v>
      </c>
      <c r="X200" s="8" t="str">
        <f t="shared" si="22"/>
        <v>18:59</v>
      </c>
      <c r="Y200" s="9">
        <f t="shared" si="23"/>
        <v>0.10416666666666663</v>
      </c>
      <c r="Z200" s="22" t="str">
        <f t="shared" si="24"/>
        <v>2025-03-28 금 (16:29~18:59) : 2시간 30분</v>
      </c>
      <c r="AA200" s="22"/>
      <c r="AB200" s="6" t="str">
        <f ca="1">_xlfn.XLOOKUP(I200, 기초데이터!$C$2:$C$305, 기초데이터!$U$2:$U$305)</f>
        <v>dahyun@neurophet.com</v>
      </c>
    </row>
    <row r="201" spans="1:28" x14ac:dyDescent="0.3">
      <c r="A201" s="6">
        <f>SUBTOTAL(3,$I$2:I201)*1</f>
        <v>200</v>
      </c>
      <c r="B201" s="21" t="s">
        <v>25</v>
      </c>
      <c r="C201" s="6" t="s">
        <v>888</v>
      </c>
      <c r="D201" s="6">
        <v>1</v>
      </c>
      <c r="E201" s="6" t="s">
        <v>53</v>
      </c>
      <c r="F201" s="6">
        <v>0</v>
      </c>
      <c r="G201" s="6" t="s">
        <v>131</v>
      </c>
      <c r="H201" s="6" t="s">
        <v>56</v>
      </c>
      <c r="I201" s="6" t="s">
        <v>132</v>
      </c>
      <c r="J201" s="6" t="s">
        <v>133</v>
      </c>
      <c r="K201" s="6" t="s">
        <v>33</v>
      </c>
      <c r="L201" s="6" t="s">
        <v>34</v>
      </c>
      <c r="M201" s="6" t="s">
        <v>35</v>
      </c>
      <c r="N201" s="6" t="s">
        <v>874</v>
      </c>
      <c r="O201" s="6" t="s">
        <v>889</v>
      </c>
      <c r="P201" s="6" t="s">
        <v>890</v>
      </c>
      <c r="T201" s="6" t="s">
        <v>891</v>
      </c>
      <c r="U201" s="7">
        <f t="shared" si="19"/>
        <v>45743</v>
      </c>
      <c r="V201" s="6">
        <f t="shared" si="20"/>
        <v>13</v>
      </c>
      <c r="W201" s="8" t="str">
        <f t="shared" si="21"/>
        <v>17:30</v>
      </c>
      <c r="X201" s="8" t="str">
        <f t="shared" si="22"/>
        <v>21:30</v>
      </c>
      <c r="Y201" s="9">
        <f t="shared" si="23"/>
        <v>0.16666666666666674</v>
      </c>
      <c r="Z201" s="22" t="str">
        <f t="shared" si="24"/>
        <v>2025-03-27 목 (17:30~21:30) : 4시간</v>
      </c>
      <c r="AA201" s="22"/>
      <c r="AB201" s="6" t="str">
        <f ca="1">_xlfn.XLOOKUP(I201, 기초데이터!$C$2:$C$305, 기초데이터!$U$2:$U$305)</f>
        <v>kelly.seo@neurophet.com</v>
      </c>
    </row>
    <row r="202" spans="1:28" x14ac:dyDescent="0.3">
      <c r="A202" s="6">
        <f>SUBTOTAL(3,$I$2:I202)*1</f>
        <v>201</v>
      </c>
      <c r="B202" s="21" t="s">
        <v>25</v>
      </c>
      <c r="C202" s="6" t="s">
        <v>892</v>
      </c>
      <c r="D202" s="6">
        <v>1</v>
      </c>
      <c r="E202" s="6" t="s">
        <v>610</v>
      </c>
      <c r="F202" s="6">
        <v>0</v>
      </c>
      <c r="G202" s="6" t="s">
        <v>399</v>
      </c>
      <c r="H202" s="6" t="s">
        <v>30</v>
      </c>
      <c r="I202" s="6" t="s">
        <v>400</v>
      </c>
      <c r="J202" s="6" t="s">
        <v>401</v>
      </c>
      <c r="K202" s="6" t="s">
        <v>33</v>
      </c>
      <c r="L202" s="6" t="s">
        <v>34</v>
      </c>
      <c r="M202" s="6" t="s">
        <v>35</v>
      </c>
      <c r="N202" s="6" t="s">
        <v>853</v>
      </c>
      <c r="O202" s="6" t="s">
        <v>893</v>
      </c>
      <c r="P202" s="6" t="s">
        <v>894</v>
      </c>
      <c r="T202" s="6" t="s">
        <v>895</v>
      </c>
      <c r="U202" s="7">
        <f t="shared" si="19"/>
        <v>45743</v>
      </c>
      <c r="V202" s="6">
        <f t="shared" si="20"/>
        <v>13</v>
      </c>
      <c r="W202" s="8" t="str">
        <f t="shared" si="21"/>
        <v>17:00</v>
      </c>
      <c r="X202" s="8" t="str">
        <f t="shared" si="22"/>
        <v>20:30</v>
      </c>
      <c r="Y202" s="9">
        <f t="shared" si="23"/>
        <v>0.14583333333333326</v>
      </c>
      <c r="Z202" s="22" t="str">
        <f t="shared" si="24"/>
        <v>2025-03-27 목 (17:00~20:30) : 3시간 30분</v>
      </c>
      <c r="AA202" s="22"/>
      <c r="AB202" s="6" t="str">
        <f ca="1">_xlfn.XLOOKUP(I202, 기초데이터!$C$2:$C$305, 기초데이터!$U$2:$U$305)</f>
        <v>lsr@neurophet.com</v>
      </c>
    </row>
    <row r="203" spans="1:28" x14ac:dyDescent="0.3">
      <c r="A203" s="6">
        <f>SUBTOTAL(3,$I$2:I203)*1</f>
        <v>202</v>
      </c>
      <c r="B203" s="21" t="s">
        <v>25</v>
      </c>
      <c r="C203" s="6" t="s">
        <v>1280</v>
      </c>
      <c r="D203" s="6">
        <v>1</v>
      </c>
      <c r="E203" s="6" t="s">
        <v>41</v>
      </c>
      <c r="F203" s="6">
        <v>0</v>
      </c>
      <c r="G203" s="6" t="s">
        <v>399</v>
      </c>
      <c r="H203" s="6" t="s">
        <v>30</v>
      </c>
      <c r="I203" s="6" t="s">
        <v>897</v>
      </c>
      <c r="J203" s="6" t="s">
        <v>898</v>
      </c>
      <c r="K203" s="6" t="s">
        <v>33</v>
      </c>
      <c r="L203" s="6" t="s">
        <v>34</v>
      </c>
      <c r="M203" s="6" t="s">
        <v>35</v>
      </c>
      <c r="N203" s="6" t="s">
        <v>853</v>
      </c>
      <c r="O203" s="6" t="s">
        <v>899</v>
      </c>
      <c r="P203" s="6" t="s">
        <v>1279</v>
      </c>
      <c r="T203" s="6" t="s">
        <v>901</v>
      </c>
      <c r="U203" s="11">
        <f t="shared" ref="U203:U234" si="25">DATEVALUE(LEFT(C203,10))</f>
        <v>45713</v>
      </c>
      <c r="V203" s="12">
        <f t="shared" ref="V203:V234" si="26">WEEKNUM(U203,21)</f>
        <v>9</v>
      </c>
      <c r="W203" s="13" t="str">
        <f t="shared" ref="W203:W234" si="27">MID(C203,12,5)</f>
        <v>19:24</v>
      </c>
      <c r="X203" s="13" t="str">
        <f t="shared" ref="X203:X234" si="28">MID(C203,32,5)</f>
        <v>21:43</v>
      </c>
      <c r="Y203" s="14">
        <f t="shared" ref="Y203:Y234" si="29">X203-W203</f>
        <v>9.6527777777777768E-2</v>
      </c>
      <c r="Z203" s="22" t="str">
        <f t="shared" si="24"/>
        <v>2025-02-25 화 (19:24~21:43) : 2시간 19분</v>
      </c>
      <c r="AA203" s="22"/>
      <c r="AB203" s="6" t="str">
        <f ca="1">_xlfn.XLOOKUP(I203, 기초데이터!$C$2:$C$305, 기초데이터!$U$2:$U$305)</f>
        <v>sy.ha@neurophet.com</v>
      </c>
    </row>
    <row r="204" spans="1:28" x14ac:dyDescent="0.3">
      <c r="A204" s="6">
        <f>SUBTOTAL(3,$I$2:I204)*1</f>
        <v>203</v>
      </c>
      <c r="B204" s="21" t="s">
        <v>25</v>
      </c>
      <c r="C204" s="6" t="s">
        <v>902</v>
      </c>
      <c r="D204" s="6">
        <v>1</v>
      </c>
      <c r="E204" s="6" t="s">
        <v>825</v>
      </c>
      <c r="F204" s="6">
        <v>0</v>
      </c>
      <c r="G204" s="6" t="s">
        <v>29</v>
      </c>
      <c r="H204" s="6" t="s">
        <v>56</v>
      </c>
      <c r="I204" s="6" t="s">
        <v>57</v>
      </c>
      <c r="J204" s="6" t="s">
        <v>58</v>
      </c>
      <c r="K204" s="6" t="s">
        <v>33</v>
      </c>
      <c r="L204" s="6" t="s">
        <v>34</v>
      </c>
      <c r="M204" s="6" t="s">
        <v>35</v>
      </c>
      <c r="N204" s="6" t="s">
        <v>874</v>
      </c>
      <c r="O204" s="6" t="s">
        <v>903</v>
      </c>
      <c r="P204" s="6" t="s">
        <v>904</v>
      </c>
      <c r="T204" s="6" t="s">
        <v>905</v>
      </c>
      <c r="U204" s="7">
        <f t="shared" si="25"/>
        <v>45743</v>
      </c>
      <c r="V204" s="6">
        <f t="shared" si="26"/>
        <v>13</v>
      </c>
      <c r="W204" s="8" t="str">
        <f t="shared" si="27"/>
        <v>18:43</v>
      </c>
      <c r="X204" s="8" t="str">
        <f t="shared" si="28"/>
        <v>20:15</v>
      </c>
      <c r="Y204" s="9">
        <f t="shared" si="29"/>
        <v>6.3888888888888884E-2</v>
      </c>
      <c r="Z204" s="22" t="str">
        <f t="shared" si="24"/>
        <v>2025-03-27 목 (18:43~20:15) : 1시간 32분</v>
      </c>
      <c r="AA204" s="22"/>
      <c r="AB204" s="6" t="str">
        <f ca="1">_xlfn.XLOOKUP(I204, 기초데이터!$C$2:$C$305, 기초데이터!$U$2:$U$305)</f>
        <v>hsyang@neurophet.com</v>
      </c>
    </row>
    <row r="205" spans="1:28" x14ac:dyDescent="0.3">
      <c r="A205" s="6">
        <f>SUBTOTAL(3,$I$2:I205)*1</f>
        <v>204</v>
      </c>
      <c r="B205" s="21" t="s">
        <v>25</v>
      </c>
      <c r="C205" s="6" t="s">
        <v>906</v>
      </c>
      <c r="D205" s="6">
        <v>1</v>
      </c>
      <c r="E205" s="6" t="s">
        <v>571</v>
      </c>
      <c r="F205" s="6">
        <v>0</v>
      </c>
      <c r="G205" s="6" t="s">
        <v>29</v>
      </c>
      <c r="H205" s="6" t="s">
        <v>56</v>
      </c>
      <c r="I205" s="6" t="s">
        <v>57</v>
      </c>
      <c r="J205" s="6" t="s">
        <v>58</v>
      </c>
      <c r="K205" s="6" t="s">
        <v>33</v>
      </c>
      <c r="L205" s="6" t="s">
        <v>34</v>
      </c>
      <c r="M205" s="6" t="s">
        <v>35</v>
      </c>
      <c r="N205" s="6" t="s">
        <v>874</v>
      </c>
      <c r="O205" s="6" t="s">
        <v>903</v>
      </c>
      <c r="P205" s="6" t="s">
        <v>904</v>
      </c>
      <c r="T205" s="6" t="s">
        <v>905</v>
      </c>
      <c r="U205" s="7">
        <f t="shared" si="25"/>
        <v>45743</v>
      </c>
      <c r="V205" s="6">
        <f t="shared" si="26"/>
        <v>13</v>
      </c>
      <c r="W205" s="8" t="str">
        <f t="shared" si="27"/>
        <v>20:35</v>
      </c>
      <c r="X205" s="8" t="str">
        <f t="shared" si="28"/>
        <v>21:53</v>
      </c>
      <c r="Y205" s="9">
        <f t="shared" si="29"/>
        <v>5.4166666666666696E-2</v>
      </c>
      <c r="Z205" s="22" t="str">
        <f t="shared" si="24"/>
        <v>2025-03-27 목 (20:35~21:53) : 1시간 18분</v>
      </c>
      <c r="AA205" s="22"/>
      <c r="AB205" s="6" t="str">
        <f ca="1">_xlfn.XLOOKUP(I205, 기초데이터!$C$2:$C$305, 기초데이터!$U$2:$U$305)</f>
        <v>hsyang@neurophet.com</v>
      </c>
    </row>
    <row r="206" spans="1:28" x14ac:dyDescent="0.3">
      <c r="A206" s="6">
        <f>SUBTOTAL(3,$I$2:I206)*1</f>
        <v>205</v>
      </c>
      <c r="B206" s="21" t="s">
        <v>25</v>
      </c>
      <c r="C206" s="6" t="s">
        <v>907</v>
      </c>
      <c r="D206" s="6">
        <v>1</v>
      </c>
      <c r="E206" s="6" t="s">
        <v>118</v>
      </c>
      <c r="F206" s="6">
        <v>0</v>
      </c>
      <c r="G206" s="6" t="s">
        <v>29</v>
      </c>
      <c r="H206" s="6" t="s">
        <v>30</v>
      </c>
      <c r="I206" s="6" t="s">
        <v>64</v>
      </c>
      <c r="J206" s="6" t="s">
        <v>65</v>
      </c>
      <c r="K206" s="6" t="s">
        <v>33</v>
      </c>
      <c r="L206" s="6" t="s">
        <v>34</v>
      </c>
      <c r="M206" s="6" t="s">
        <v>35</v>
      </c>
      <c r="N206" s="6" t="s">
        <v>874</v>
      </c>
      <c r="O206" s="6" t="s">
        <v>908</v>
      </c>
      <c r="P206" s="6" t="s">
        <v>909</v>
      </c>
      <c r="T206" s="6" t="s">
        <v>910</v>
      </c>
      <c r="U206" s="7">
        <f t="shared" si="25"/>
        <v>45743</v>
      </c>
      <c r="V206" s="6">
        <f t="shared" si="26"/>
        <v>13</v>
      </c>
      <c r="W206" s="8" t="str">
        <f t="shared" si="27"/>
        <v>20:50</v>
      </c>
      <c r="X206" s="8" t="str">
        <f t="shared" si="28"/>
        <v>21:50</v>
      </c>
      <c r="Y206" s="9">
        <f t="shared" si="29"/>
        <v>4.166666666666663E-2</v>
      </c>
      <c r="Z206" s="22" t="str">
        <f t="shared" si="24"/>
        <v>2025-03-27 목 (20:50~21:50) : 1시간</v>
      </c>
      <c r="AA206" s="22"/>
      <c r="AB206" s="6" t="str">
        <f ca="1">_xlfn.XLOOKUP(I206, 기초데이터!$C$2:$C$305, 기초데이터!$U$2:$U$305)</f>
        <v>doyeon@neurophet.com</v>
      </c>
    </row>
    <row r="207" spans="1:28" x14ac:dyDescent="0.3">
      <c r="A207" s="6">
        <f>SUBTOTAL(3,$I$2:I207)*1</f>
        <v>206</v>
      </c>
      <c r="B207" s="21" t="s">
        <v>25</v>
      </c>
      <c r="C207" s="6" t="s">
        <v>911</v>
      </c>
      <c r="D207" s="6">
        <v>1</v>
      </c>
      <c r="E207" s="6" t="s">
        <v>912</v>
      </c>
      <c r="F207" s="6">
        <v>0</v>
      </c>
      <c r="G207" s="6" t="s">
        <v>29</v>
      </c>
      <c r="H207" s="6" t="s">
        <v>30</v>
      </c>
      <c r="I207" s="6" t="s">
        <v>64</v>
      </c>
      <c r="J207" s="6" t="s">
        <v>65</v>
      </c>
      <c r="K207" s="6" t="s">
        <v>33</v>
      </c>
      <c r="L207" s="6" t="s">
        <v>34</v>
      </c>
      <c r="M207" s="6" t="s">
        <v>35</v>
      </c>
      <c r="N207" s="6" t="s">
        <v>874</v>
      </c>
      <c r="O207" s="6" t="s">
        <v>908</v>
      </c>
      <c r="P207" s="6" t="s">
        <v>909</v>
      </c>
      <c r="T207" s="6" t="s">
        <v>910</v>
      </c>
      <c r="U207" s="7">
        <f t="shared" si="25"/>
        <v>45743</v>
      </c>
      <c r="V207" s="6">
        <f t="shared" si="26"/>
        <v>13</v>
      </c>
      <c r="W207" s="8" t="str">
        <f t="shared" si="27"/>
        <v>18:34</v>
      </c>
      <c r="X207" s="8" t="str">
        <f t="shared" si="28"/>
        <v>20:14</v>
      </c>
      <c r="Y207" s="9">
        <f t="shared" si="29"/>
        <v>6.944444444444442E-2</v>
      </c>
      <c r="Z207" s="22" t="str">
        <f t="shared" si="24"/>
        <v>2025-03-27 목 (18:34~20:14) : 1시간 40분</v>
      </c>
      <c r="AA207" s="22"/>
      <c r="AB207" s="6" t="str">
        <f ca="1">_xlfn.XLOOKUP(I207, 기초데이터!$C$2:$C$305, 기초데이터!$U$2:$U$305)</f>
        <v>doyeon@neurophet.com</v>
      </c>
    </row>
    <row r="208" spans="1:28" x14ac:dyDescent="0.3">
      <c r="A208" s="6">
        <f>SUBTOTAL(3,$I$2:I208)*1</f>
        <v>207</v>
      </c>
      <c r="B208" s="21" t="s">
        <v>25</v>
      </c>
      <c r="C208" s="6" t="s">
        <v>913</v>
      </c>
      <c r="D208" s="6">
        <v>1</v>
      </c>
      <c r="E208" s="6" t="s">
        <v>183</v>
      </c>
      <c r="F208" s="6">
        <v>0</v>
      </c>
      <c r="G208" s="6" t="s">
        <v>29</v>
      </c>
      <c r="H208" s="6" t="s">
        <v>30</v>
      </c>
      <c r="I208" s="6" t="s">
        <v>31</v>
      </c>
      <c r="J208" s="6" t="s">
        <v>32</v>
      </c>
      <c r="K208" s="6" t="s">
        <v>33</v>
      </c>
      <c r="L208" s="6" t="s">
        <v>34</v>
      </c>
      <c r="M208" s="6" t="s">
        <v>35</v>
      </c>
      <c r="N208" s="6" t="s">
        <v>874</v>
      </c>
      <c r="O208" s="6" t="s">
        <v>914</v>
      </c>
      <c r="P208" s="6" t="s">
        <v>915</v>
      </c>
      <c r="T208" s="6" t="s">
        <v>916</v>
      </c>
      <c r="U208" s="7">
        <f t="shared" si="25"/>
        <v>45743</v>
      </c>
      <c r="V208" s="6">
        <f t="shared" si="26"/>
        <v>13</v>
      </c>
      <c r="W208" s="8" t="str">
        <f t="shared" si="27"/>
        <v>16:39</v>
      </c>
      <c r="X208" s="8" t="str">
        <f t="shared" si="28"/>
        <v>20:31</v>
      </c>
      <c r="Y208" s="9">
        <f t="shared" si="29"/>
        <v>0.16111111111111109</v>
      </c>
      <c r="Z208" s="22" t="str">
        <f t="shared" si="24"/>
        <v>2025-03-27 목 (16:39~20:31) : 3시간 52분</v>
      </c>
      <c r="AA208" s="22"/>
      <c r="AB208" s="6" t="str">
        <f ca="1">_xlfn.XLOOKUP(I208, 기초데이터!$C$2:$C$305, 기초데이터!$U$2:$U$305)</f>
        <v>kgy@neurophet.com</v>
      </c>
    </row>
    <row r="209" spans="1:28" x14ac:dyDescent="0.3">
      <c r="A209" s="6">
        <f>SUBTOTAL(3,$I$2:I209)*1</f>
        <v>208</v>
      </c>
      <c r="B209" s="21" t="s">
        <v>25</v>
      </c>
      <c r="C209" s="6" t="s">
        <v>917</v>
      </c>
      <c r="D209" s="6">
        <v>1</v>
      </c>
      <c r="E209" s="6" t="s">
        <v>128</v>
      </c>
      <c r="F209" s="6">
        <v>0</v>
      </c>
      <c r="G209" s="6" t="s">
        <v>131</v>
      </c>
      <c r="H209" s="6" t="s">
        <v>56</v>
      </c>
      <c r="I209" s="6" t="s">
        <v>132</v>
      </c>
      <c r="J209" s="6" t="s">
        <v>133</v>
      </c>
      <c r="K209" s="6" t="s">
        <v>33</v>
      </c>
      <c r="L209" s="6" t="s">
        <v>34</v>
      </c>
      <c r="M209" s="6" t="s">
        <v>35</v>
      </c>
      <c r="N209" s="6" t="s">
        <v>874</v>
      </c>
      <c r="O209" s="6" t="s">
        <v>918</v>
      </c>
      <c r="P209" s="6" t="s">
        <v>919</v>
      </c>
      <c r="T209" s="6" t="s">
        <v>920</v>
      </c>
      <c r="U209" s="7">
        <f t="shared" si="25"/>
        <v>45742</v>
      </c>
      <c r="V209" s="6">
        <f t="shared" si="26"/>
        <v>13</v>
      </c>
      <c r="W209" s="8" t="str">
        <f t="shared" si="27"/>
        <v>17:30</v>
      </c>
      <c r="X209" s="8" t="str">
        <f t="shared" si="28"/>
        <v>19:30</v>
      </c>
      <c r="Y209" s="9">
        <f t="shared" si="29"/>
        <v>8.333333333333337E-2</v>
      </c>
      <c r="Z209" s="22" t="str">
        <f t="shared" si="24"/>
        <v>2025-03-26 수 (17:30~19:30) : 2시간</v>
      </c>
      <c r="AA209" s="22"/>
      <c r="AB209" s="6" t="str">
        <f ca="1">_xlfn.XLOOKUP(I209, 기초데이터!$C$2:$C$305, 기초데이터!$U$2:$U$305)</f>
        <v>kelly.seo@neurophet.com</v>
      </c>
    </row>
    <row r="210" spans="1:28" x14ac:dyDescent="0.3">
      <c r="A210" s="6">
        <f>SUBTOTAL(3,$I$2:I210)*1</f>
        <v>209</v>
      </c>
      <c r="B210" s="21" t="s">
        <v>25</v>
      </c>
      <c r="C210" s="6" t="s">
        <v>921</v>
      </c>
      <c r="D210" s="6">
        <v>1</v>
      </c>
      <c r="E210" s="6" t="s">
        <v>128</v>
      </c>
      <c r="F210" s="6">
        <v>0</v>
      </c>
      <c r="G210" s="6" t="s">
        <v>850</v>
      </c>
      <c r="H210" s="6" t="s">
        <v>56</v>
      </c>
      <c r="I210" s="6" t="s">
        <v>922</v>
      </c>
      <c r="J210" s="6" t="s">
        <v>923</v>
      </c>
      <c r="K210" s="6" t="s">
        <v>33</v>
      </c>
      <c r="L210" s="6" t="s">
        <v>34</v>
      </c>
      <c r="M210" s="6" t="s">
        <v>35</v>
      </c>
      <c r="N210" s="6" t="s">
        <v>924</v>
      </c>
      <c r="O210" s="6" t="s">
        <v>925</v>
      </c>
      <c r="P210" s="6" t="s">
        <v>926</v>
      </c>
      <c r="T210" s="6" t="s">
        <v>927</v>
      </c>
      <c r="U210" s="7">
        <f t="shared" si="25"/>
        <v>45742</v>
      </c>
      <c r="V210" s="6">
        <f t="shared" si="26"/>
        <v>13</v>
      </c>
      <c r="W210" s="8" t="str">
        <f t="shared" si="27"/>
        <v>18:21</v>
      </c>
      <c r="X210" s="8" t="str">
        <f t="shared" si="28"/>
        <v>20:21</v>
      </c>
      <c r="Y210" s="9">
        <f t="shared" si="29"/>
        <v>8.333333333333337E-2</v>
      </c>
      <c r="Z210" s="22" t="str">
        <f t="shared" si="24"/>
        <v>2025-03-26 수 (18:21~20:21) : 2시간</v>
      </c>
      <c r="AA210" s="22"/>
      <c r="AB210" s="6" t="str">
        <f ca="1">_xlfn.XLOOKUP(I210, 기초데이터!$C$2:$C$305, 기초데이터!$U$2:$U$305)</f>
        <v>kyeoryelee@neurophet.com</v>
      </c>
    </row>
    <row r="211" spans="1:28" x14ac:dyDescent="0.3">
      <c r="A211" s="6">
        <f>SUBTOTAL(3,$I$2:I211)*1</f>
        <v>210</v>
      </c>
      <c r="B211" s="21" t="s">
        <v>25</v>
      </c>
      <c r="C211" s="6" t="s">
        <v>928</v>
      </c>
      <c r="D211" s="6">
        <v>1</v>
      </c>
      <c r="E211" s="6" t="s">
        <v>929</v>
      </c>
      <c r="F211" s="6">
        <v>0</v>
      </c>
      <c r="G211" s="6" t="s">
        <v>131</v>
      </c>
      <c r="H211" s="6" t="s">
        <v>30</v>
      </c>
      <c r="I211" s="6" t="s">
        <v>713</v>
      </c>
      <c r="J211" s="6" t="s">
        <v>714</v>
      </c>
      <c r="K211" s="6" t="s">
        <v>33</v>
      </c>
      <c r="L211" s="6" t="s">
        <v>34</v>
      </c>
      <c r="M211" s="6" t="s">
        <v>35</v>
      </c>
      <c r="N211" s="6" t="s">
        <v>930</v>
      </c>
      <c r="O211" s="6" t="s">
        <v>931</v>
      </c>
      <c r="P211" s="6" t="s">
        <v>932</v>
      </c>
      <c r="T211" s="6" t="s">
        <v>933</v>
      </c>
      <c r="U211" s="7">
        <f t="shared" si="25"/>
        <v>45742</v>
      </c>
      <c r="V211" s="6">
        <f t="shared" si="26"/>
        <v>13</v>
      </c>
      <c r="W211" s="8" t="str">
        <f t="shared" si="27"/>
        <v>16:34</v>
      </c>
      <c r="X211" s="8" t="str">
        <f t="shared" si="28"/>
        <v>18:30</v>
      </c>
      <c r="Y211" s="9">
        <f t="shared" si="29"/>
        <v>8.0555555555555602E-2</v>
      </c>
      <c r="Z211" s="22" t="str">
        <f t="shared" si="24"/>
        <v>2025-03-26 수 (16:34~18:30) : 1시간 56분</v>
      </c>
      <c r="AA211" s="22"/>
      <c r="AB211" s="6" t="str">
        <f ca="1">_xlfn.XLOOKUP(I211, 기초데이터!$C$2:$C$305, 기초데이터!$U$2:$U$305)</f>
        <v>jieunlee@neurophet.com</v>
      </c>
    </row>
    <row r="212" spans="1:28" x14ac:dyDescent="0.3">
      <c r="A212" s="6">
        <f>SUBTOTAL(3,$I$2:I212)*1</f>
        <v>211</v>
      </c>
      <c r="B212" s="21" t="s">
        <v>25</v>
      </c>
      <c r="C212" s="6" t="s">
        <v>934</v>
      </c>
      <c r="D212" s="6">
        <v>1</v>
      </c>
      <c r="E212" s="6" t="s">
        <v>41</v>
      </c>
      <c r="F212" s="6">
        <v>0</v>
      </c>
      <c r="G212" s="6" t="s">
        <v>42</v>
      </c>
      <c r="H212" s="6" t="s">
        <v>30</v>
      </c>
      <c r="I212" s="6" t="s">
        <v>81</v>
      </c>
      <c r="J212" s="6" t="s">
        <v>82</v>
      </c>
      <c r="K212" s="6" t="s">
        <v>33</v>
      </c>
      <c r="L212" s="6" t="s">
        <v>34</v>
      </c>
      <c r="M212" s="6" t="s">
        <v>35</v>
      </c>
      <c r="N212" s="6" t="s">
        <v>935</v>
      </c>
      <c r="O212" s="6" t="s">
        <v>936</v>
      </c>
      <c r="P212" s="6" t="s">
        <v>937</v>
      </c>
      <c r="T212" s="6" t="s">
        <v>887</v>
      </c>
      <c r="U212" s="7">
        <f t="shared" si="25"/>
        <v>45742</v>
      </c>
      <c r="V212" s="6">
        <f t="shared" si="26"/>
        <v>13</v>
      </c>
      <c r="W212" s="8" t="str">
        <f t="shared" si="27"/>
        <v>16:37</v>
      </c>
      <c r="X212" s="8" t="str">
        <f t="shared" si="28"/>
        <v>18:57</v>
      </c>
      <c r="Y212" s="9">
        <f t="shared" si="29"/>
        <v>9.722222222222221E-2</v>
      </c>
      <c r="Z212" s="22" t="str">
        <f t="shared" si="24"/>
        <v>2025-03-26 수 (16:37~18:57) : 2시간 20분</v>
      </c>
      <c r="AA212" s="22"/>
      <c r="AB212" s="6" t="str">
        <f ca="1">_xlfn.XLOOKUP(I212, 기초데이터!$C$2:$C$305, 기초데이터!$U$2:$U$305)</f>
        <v>dahyun@neurophet.com</v>
      </c>
    </row>
    <row r="213" spans="1:28" x14ac:dyDescent="0.3">
      <c r="A213" s="6">
        <f>SUBTOTAL(3,$I$2:I213)*1</f>
        <v>212</v>
      </c>
      <c r="B213" s="21" t="s">
        <v>25</v>
      </c>
      <c r="C213" s="6" t="s">
        <v>938</v>
      </c>
      <c r="D213" s="6">
        <v>1</v>
      </c>
      <c r="E213" s="6" t="s">
        <v>53</v>
      </c>
      <c r="F213" s="6">
        <v>0</v>
      </c>
      <c r="G213" s="6" t="s">
        <v>399</v>
      </c>
      <c r="H213" s="6" t="s">
        <v>30</v>
      </c>
      <c r="I213" s="6" t="s">
        <v>400</v>
      </c>
      <c r="J213" s="6" t="s">
        <v>401</v>
      </c>
      <c r="K213" s="6" t="s">
        <v>33</v>
      </c>
      <c r="L213" s="6" t="s">
        <v>34</v>
      </c>
      <c r="M213" s="6" t="s">
        <v>35</v>
      </c>
      <c r="N213" s="6" t="s">
        <v>853</v>
      </c>
      <c r="O213" s="6" t="s">
        <v>893</v>
      </c>
      <c r="P213" s="6" t="s">
        <v>894</v>
      </c>
      <c r="T213" s="6" t="s">
        <v>939</v>
      </c>
      <c r="U213" s="7">
        <f t="shared" si="25"/>
        <v>45742</v>
      </c>
      <c r="V213" s="6">
        <f t="shared" si="26"/>
        <v>13</v>
      </c>
      <c r="W213" s="8" t="str">
        <f t="shared" si="27"/>
        <v>16:03</v>
      </c>
      <c r="X213" s="8" t="str">
        <f t="shared" si="28"/>
        <v>20:03</v>
      </c>
      <c r="Y213" s="9">
        <f t="shared" si="29"/>
        <v>0.16666666666666674</v>
      </c>
      <c r="Z213" s="22" t="str">
        <f t="shared" si="24"/>
        <v>2025-03-26 수 (16:03~20:03) : 4시간</v>
      </c>
      <c r="AA213" s="22"/>
      <c r="AB213" s="6" t="str">
        <f ca="1">_xlfn.XLOOKUP(I213, 기초데이터!$C$2:$C$305, 기초데이터!$U$2:$U$305)</f>
        <v>lsr@neurophet.com</v>
      </c>
    </row>
    <row r="214" spans="1:28" x14ac:dyDescent="0.3">
      <c r="A214" s="6">
        <f>SUBTOTAL(3,$I$2:I214)*1</f>
        <v>213</v>
      </c>
      <c r="B214" s="21" t="s">
        <v>25</v>
      </c>
      <c r="C214" s="6" t="s">
        <v>940</v>
      </c>
      <c r="D214" s="6">
        <v>1</v>
      </c>
      <c r="E214" s="6" t="s">
        <v>303</v>
      </c>
      <c r="F214" s="6">
        <v>0</v>
      </c>
      <c r="G214" s="6" t="s">
        <v>399</v>
      </c>
      <c r="H214" s="6" t="s">
        <v>56</v>
      </c>
      <c r="I214" s="6" t="s">
        <v>420</v>
      </c>
      <c r="J214" s="6" t="s">
        <v>421</v>
      </c>
      <c r="K214" s="6" t="s">
        <v>33</v>
      </c>
      <c r="L214" s="6" t="s">
        <v>34</v>
      </c>
      <c r="M214" s="6" t="s">
        <v>35</v>
      </c>
      <c r="N214" s="6" t="s">
        <v>853</v>
      </c>
      <c r="O214" s="6" t="s">
        <v>858</v>
      </c>
      <c r="P214" s="6" t="s">
        <v>859</v>
      </c>
      <c r="T214" s="6" t="s">
        <v>424</v>
      </c>
      <c r="U214" s="7">
        <f t="shared" si="25"/>
        <v>45742</v>
      </c>
      <c r="V214" s="6">
        <f t="shared" si="26"/>
        <v>13</v>
      </c>
      <c r="W214" s="8" t="str">
        <f t="shared" si="27"/>
        <v>18:49</v>
      </c>
      <c r="X214" s="8" t="str">
        <f t="shared" si="28"/>
        <v>20:55</v>
      </c>
      <c r="Y214" s="9">
        <f t="shared" si="29"/>
        <v>8.7500000000000022E-2</v>
      </c>
      <c r="Z214" s="22" t="str">
        <f t="shared" si="24"/>
        <v>2025-03-26 수 (18:49~20:55) : 2시간 6분</v>
      </c>
      <c r="AA214" s="22"/>
      <c r="AB214" s="6" t="str">
        <f ca="1">_xlfn.XLOOKUP(I214, 기초데이터!$C$2:$C$305, 기초데이터!$U$2:$U$305)</f>
        <v>manjae.jeon@neurophet.com</v>
      </c>
    </row>
    <row r="215" spans="1:28" x14ac:dyDescent="0.3">
      <c r="A215" s="6">
        <f>SUBTOTAL(3,$I$2:I215)*1</f>
        <v>214</v>
      </c>
      <c r="B215" s="21" t="s">
        <v>25</v>
      </c>
      <c r="C215" s="6" t="s">
        <v>941</v>
      </c>
      <c r="D215" s="6">
        <v>1</v>
      </c>
      <c r="E215" s="6" t="s">
        <v>825</v>
      </c>
      <c r="F215" s="6">
        <v>0</v>
      </c>
      <c r="G215" s="6" t="s">
        <v>148</v>
      </c>
      <c r="H215" s="6" t="s">
        <v>30</v>
      </c>
      <c r="I215" s="6" t="s">
        <v>149</v>
      </c>
      <c r="J215" s="6" t="s">
        <v>150</v>
      </c>
      <c r="K215" s="6" t="s">
        <v>33</v>
      </c>
      <c r="L215" s="6" t="s">
        <v>34</v>
      </c>
      <c r="M215" s="6" t="s">
        <v>35</v>
      </c>
      <c r="N215" s="6" t="s">
        <v>930</v>
      </c>
      <c r="O215" s="6" t="s">
        <v>942</v>
      </c>
      <c r="P215" s="6" t="s">
        <v>943</v>
      </c>
      <c r="T215" s="6" t="s">
        <v>872</v>
      </c>
      <c r="U215" s="7">
        <f t="shared" si="25"/>
        <v>45741</v>
      </c>
      <c r="V215" s="6">
        <f t="shared" si="26"/>
        <v>13</v>
      </c>
      <c r="W215" s="8" t="str">
        <f t="shared" si="27"/>
        <v>18:30</v>
      </c>
      <c r="X215" s="8" t="str">
        <f t="shared" si="28"/>
        <v>20:00</v>
      </c>
      <c r="Y215" s="9">
        <f t="shared" si="29"/>
        <v>6.25E-2</v>
      </c>
      <c r="Z215" s="22" t="str">
        <f t="shared" si="24"/>
        <v>2025-03-25 화 (18:30~20:00) : 1시간 30분</v>
      </c>
      <c r="AA215" s="22"/>
      <c r="AB215" s="6" t="str">
        <f ca="1">_xlfn.XLOOKUP(I215, 기초데이터!$C$2:$C$305, 기초데이터!$U$2:$U$305)</f>
        <v>sjsj0331@neurophet.com</v>
      </c>
    </row>
    <row r="216" spans="1:28" x14ac:dyDescent="0.3">
      <c r="A216" s="6">
        <f>SUBTOTAL(3,$I$2:I216)*1</f>
        <v>215</v>
      </c>
      <c r="B216" s="21" t="s">
        <v>25</v>
      </c>
      <c r="C216" s="6" t="s">
        <v>944</v>
      </c>
      <c r="D216" s="6">
        <v>1</v>
      </c>
      <c r="E216" s="6" t="s">
        <v>128</v>
      </c>
      <c r="F216" s="6">
        <v>0</v>
      </c>
      <c r="G216" s="6" t="s">
        <v>850</v>
      </c>
      <c r="H216" s="6" t="s">
        <v>56</v>
      </c>
      <c r="I216" s="6" t="s">
        <v>922</v>
      </c>
      <c r="J216" s="6" t="s">
        <v>923</v>
      </c>
      <c r="K216" s="6" t="s">
        <v>33</v>
      </c>
      <c r="L216" s="6" t="s">
        <v>34</v>
      </c>
      <c r="M216" s="6" t="s">
        <v>35</v>
      </c>
      <c r="N216" s="6" t="s">
        <v>945</v>
      </c>
      <c r="O216" s="6" t="s">
        <v>946</v>
      </c>
      <c r="P216" s="6" t="s">
        <v>947</v>
      </c>
      <c r="T216" s="6" t="s">
        <v>948</v>
      </c>
      <c r="U216" s="7">
        <f t="shared" si="25"/>
        <v>45741</v>
      </c>
      <c r="V216" s="6">
        <f t="shared" si="26"/>
        <v>13</v>
      </c>
      <c r="W216" s="8" t="str">
        <f t="shared" si="27"/>
        <v>18:09</v>
      </c>
      <c r="X216" s="8" t="str">
        <f t="shared" si="28"/>
        <v>20:09</v>
      </c>
      <c r="Y216" s="9">
        <f t="shared" si="29"/>
        <v>8.333333333333337E-2</v>
      </c>
      <c r="Z216" s="22" t="str">
        <f t="shared" si="24"/>
        <v>2025-03-25 화 (18:09~20:09) : 2시간</v>
      </c>
      <c r="AA216" s="22"/>
      <c r="AB216" s="6" t="str">
        <f ca="1">_xlfn.XLOOKUP(I216, 기초데이터!$C$2:$C$305, 기초데이터!$U$2:$U$305)</f>
        <v>kyeoryelee@neurophet.com</v>
      </c>
    </row>
    <row r="217" spans="1:28" x14ac:dyDescent="0.3">
      <c r="A217" s="6">
        <f>SUBTOTAL(3,$I$2:I217)*1</f>
        <v>216</v>
      </c>
      <c r="B217" s="21" t="s">
        <v>25</v>
      </c>
      <c r="C217" s="6" t="s">
        <v>949</v>
      </c>
      <c r="D217" s="6">
        <v>1</v>
      </c>
      <c r="E217" s="6" t="s">
        <v>53</v>
      </c>
      <c r="F217" s="6">
        <v>0</v>
      </c>
      <c r="G217" s="6" t="s">
        <v>399</v>
      </c>
      <c r="H217" s="6" t="s">
        <v>30</v>
      </c>
      <c r="I217" s="6" t="s">
        <v>400</v>
      </c>
      <c r="J217" s="6" t="s">
        <v>401</v>
      </c>
      <c r="K217" s="6" t="s">
        <v>33</v>
      </c>
      <c r="L217" s="6" t="s">
        <v>34</v>
      </c>
      <c r="M217" s="6" t="s">
        <v>35</v>
      </c>
      <c r="N217" s="6" t="s">
        <v>853</v>
      </c>
      <c r="O217" s="6" t="s">
        <v>893</v>
      </c>
      <c r="P217" s="6" t="s">
        <v>894</v>
      </c>
      <c r="T217" s="6" t="s">
        <v>950</v>
      </c>
      <c r="U217" s="7">
        <f t="shared" si="25"/>
        <v>45741</v>
      </c>
      <c r="V217" s="6">
        <f t="shared" si="26"/>
        <v>13</v>
      </c>
      <c r="W217" s="8" t="str">
        <f t="shared" si="27"/>
        <v>16:05</v>
      </c>
      <c r="X217" s="8" t="str">
        <f t="shared" si="28"/>
        <v>20:05</v>
      </c>
      <c r="Y217" s="9">
        <f t="shared" si="29"/>
        <v>0.16666666666666674</v>
      </c>
      <c r="Z217" s="22" t="str">
        <f t="shared" si="24"/>
        <v>2025-03-25 화 (16:05~20:05) : 4시간</v>
      </c>
      <c r="AA217" s="22"/>
      <c r="AB217" s="6" t="str">
        <f ca="1">_xlfn.XLOOKUP(I217, 기초데이터!$C$2:$C$305, 기초데이터!$U$2:$U$305)</f>
        <v>lsr@neurophet.com</v>
      </c>
    </row>
    <row r="218" spans="1:28" x14ac:dyDescent="0.3">
      <c r="A218" s="6">
        <f>SUBTOTAL(3,$I$2:I218)*1</f>
        <v>217</v>
      </c>
      <c r="B218" s="21" t="s">
        <v>25</v>
      </c>
      <c r="C218" s="6" t="s">
        <v>951</v>
      </c>
      <c r="D218" s="6">
        <v>1</v>
      </c>
      <c r="E218" s="6" t="s">
        <v>107</v>
      </c>
      <c r="F218" s="6">
        <v>0</v>
      </c>
      <c r="G218" s="6" t="s">
        <v>399</v>
      </c>
      <c r="H218" s="6" t="s">
        <v>56</v>
      </c>
      <c r="I218" s="6" t="s">
        <v>420</v>
      </c>
      <c r="J218" s="6" t="s">
        <v>421</v>
      </c>
      <c r="K218" s="6" t="s">
        <v>33</v>
      </c>
      <c r="L218" s="6" t="s">
        <v>34</v>
      </c>
      <c r="M218" s="6" t="s">
        <v>35</v>
      </c>
      <c r="N218" s="6" t="s">
        <v>853</v>
      </c>
      <c r="O218" s="6" t="s">
        <v>858</v>
      </c>
      <c r="P218" s="6" t="s">
        <v>859</v>
      </c>
      <c r="T218" s="6" t="s">
        <v>424</v>
      </c>
      <c r="U218" s="7">
        <f t="shared" si="25"/>
        <v>45741</v>
      </c>
      <c r="V218" s="6">
        <f t="shared" si="26"/>
        <v>13</v>
      </c>
      <c r="W218" s="8" t="str">
        <f t="shared" si="27"/>
        <v>18:22</v>
      </c>
      <c r="X218" s="8" t="str">
        <f t="shared" si="28"/>
        <v>21:38</v>
      </c>
      <c r="Y218" s="9">
        <f t="shared" si="29"/>
        <v>0.13611111111111118</v>
      </c>
      <c r="Z218" s="22" t="str">
        <f t="shared" si="24"/>
        <v>2025-03-25 화 (18:22~21:38) : 3시간 16분</v>
      </c>
      <c r="AA218" s="22"/>
      <c r="AB218" s="6" t="str">
        <f ca="1">_xlfn.XLOOKUP(I218, 기초데이터!$C$2:$C$305, 기초데이터!$U$2:$U$305)</f>
        <v>manjae.jeon@neurophet.com</v>
      </c>
    </row>
    <row r="219" spans="1:28" x14ac:dyDescent="0.3">
      <c r="A219" s="6">
        <f>SUBTOTAL(3,$I$2:I219)*1</f>
        <v>218</v>
      </c>
      <c r="B219" s="21" t="s">
        <v>25</v>
      </c>
      <c r="C219" s="6" t="s">
        <v>952</v>
      </c>
      <c r="D219" s="6">
        <v>1</v>
      </c>
      <c r="E219" s="6" t="s">
        <v>53</v>
      </c>
      <c r="F219" s="6">
        <v>0</v>
      </c>
      <c r="G219" s="6" t="s">
        <v>131</v>
      </c>
      <c r="H219" s="6" t="s">
        <v>56</v>
      </c>
      <c r="I219" s="6" t="s">
        <v>132</v>
      </c>
      <c r="J219" s="6" t="s">
        <v>133</v>
      </c>
      <c r="K219" s="6" t="s">
        <v>33</v>
      </c>
      <c r="L219" s="6" t="s">
        <v>34</v>
      </c>
      <c r="M219" s="6" t="s">
        <v>35</v>
      </c>
      <c r="N219" s="6" t="s">
        <v>874</v>
      </c>
      <c r="O219" s="6" t="s">
        <v>953</v>
      </c>
      <c r="P219" s="6" t="s">
        <v>954</v>
      </c>
      <c r="T219" s="6" t="s">
        <v>955</v>
      </c>
      <c r="U219" s="7">
        <f t="shared" si="25"/>
        <v>45740</v>
      </c>
      <c r="V219" s="6">
        <f t="shared" si="26"/>
        <v>13</v>
      </c>
      <c r="W219" s="8" t="str">
        <f t="shared" si="27"/>
        <v>17:30</v>
      </c>
      <c r="X219" s="8" t="str">
        <f t="shared" si="28"/>
        <v>21:30</v>
      </c>
      <c r="Y219" s="9">
        <f t="shared" si="29"/>
        <v>0.16666666666666674</v>
      </c>
      <c r="Z219" s="22" t="str">
        <f t="shared" si="24"/>
        <v>2025-03-24 월 (17:30~21:30) : 4시간</v>
      </c>
      <c r="AA219" s="22"/>
      <c r="AB219" s="6" t="str">
        <f ca="1">_xlfn.XLOOKUP(I219, 기초데이터!$C$2:$C$305, 기초데이터!$U$2:$U$305)</f>
        <v>kelly.seo@neurophet.com</v>
      </c>
    </row>
    <row r="220" spans="1:28" x14ac:dyDescent="0.3">
      <c r="A220" s="6">
        <f>SUBTOTAL(3,$I$2:I220)*1</f>
        <v>219</v>
      </c>
      <c r="B220" s="21" t="s">
        <v>25</v>
      </c>
      <c r="C220" s="6" t="s">
        <v>956</v>
      </c>
      <c r="D220" s="6">
        <v>1</v>
      </c>
      <c r="E220" s="6" t="s">
        <v>303</v>
      </c>
      <c r="F220" s="6">
        <v>0</v>
      </c>
      <c r="G220" s="6" t="s">
        <v>167</v>
      </c>
      <c r="H220" s="6" t="s">
        <v>30</v>
      </c>
      <c r="I220" s="6" t="s">
        <v>168</v>
      </c>
      <c r="J220" s="6" t="s">
        <v>169</v>
      </c>
      <c r="K220" s="6" t="s">
        <v>33</v>
      </c>
      <c r="L220" s="6" t="s">
        <v>34</v>
      </c>
      <c r="M220" s="6" t="s">
        <v>35</v>
      </c>
      <c r="N220" s="6" t="s">
        <v>957</v>
      </c>
      <c r="O220" s="6" t="s">
        <v>958</v>
      </c>
      <c r="P220" s="6" t="s">
        <v>959</v>
      </c>
      <c r="T220" s="6" t="s">
        <v>960</v>
      </c>
      <c r="U220" s="7">
        <f t="shared" si="25"/>
        <v>45740</v>
      </c>
      <c r="V220" s="6">
        <f t="shared" si="26"/>
        <v>13</v>
      </c>
      <c r="W220" s="8" t="str">
        <f t="shared" si="27"/>
        <v>17:41</v>
      </c>
      <c r="X220" s="8" t="str">
        <f t="shared" si="28"/>
        <v>19:46</v>
      </c>
      <c r="Y220" s="9">
        <f t="shared" si="29"/>
        <v>8.6805555555555469E-2</v>
      </c>
      <c r="Z220" s="22" t="str">
        <f t="shared" si="24"/>
        <v>2025-03-24 월 (17:41~19:46) : 2시간 5분</v>
      </c>
      <c r="AA220" s="22"/>
      <c r="AB220" s="6" t="str">
        <f ca="1">_xlfn.XLOOKUP(I220, 기초데이터!$C$2:$C$305, 기초데이터!$U$2:$U$305)</f>
        <v>selee@neurophet.com</v>
      </c>
    </row>
    <row r="221" spans="1:28" x14ac:dyDescent="0.3">
      <c r="A221" s="6">
        <f>SUBTOTAL(3,$I$2:I221)*1</f>
        <v>220</v>
      </c>
      <c r="B221" s="21" t="s">
        <v>25</v>
      </c>
      <c r="C221" s="6" t="s">
        <v>1278</v>
      </c>
      <c r="D221" s="6">
        <v>1</v>
      </c>
      <c r="E221" s="6" t="s">
        <v>1268</v>
      </c>
      <c r="F221" s="6">
        <v>0</v>
      </c>
      <c r="G221" s="6" t="s">
        <v>399</v>
      </c>
      <c r="H221" s="6" t="s">
        <v>30</v>
      </c>
      <c r="I221" s="6" t="s">
        <v>897</v>
      </c>
      <c r="J221" s="6" t="s">
        <v>898</v>
      </c>
      <c r="K221" s="6" t="s">
        <v>33</v>
      </c>
      <c r="L221" s="6" t="s">
        <v>34</v>
      </c>
      <c r="M221" s="6" t="s">
        <v>35</v>
      </c>
      <c r="N221" s="6" t="s">
        <v>853</v>
      </c>
      <c r="O221" s="6" t="s">
        <v>899</v>
      </c>
      <c r="P221" s="6" t="s">
        <v>1279</v>
      </c>
      <c r="T221" s="6" t="s">
        <v>901</v>
      </c>
      <c r="U221" s="11">
        <f t="shared" si="25"/>
        <v>45715</v>
      </c>
      <c r="V221" s="12">
        <f t="shared" si="26"/>
        <v>9</v>
      </c>
      <c r="W221" s="13" t="str">
        <f t="shared" si="27"/>
        <v>17:42</v>
      </c>
      <c r="X221" s="13" t="str">
        <f t="shared" si="28"/>
        <v>22:08</v>
      </c>
      <c r="Y221" s="14">
        <f t="shared" si="29"/>
        <v>0.18472222222222223</v>
      </c>
      <c r="Z221" s="22" t="str">
        <f t="shared" si="24"/>
        <v>2025-02-27 목 (17:42~22:08) : 4시간 26분</v>
      </c>
      <c r="AA221" s="22"/>
      <c r="AB221" s="6" t="str">
        <f ca="1">_xlfn.XLOOKUP(I221, 기초데이터!$C$2:$C$305, 기초데이터!$U$2:$U$305)</f>
        <v>sy.ha@neurophet.com</v>
      </c>
    </row>
    <row r="222" spans="1:28" x14ac:dyDescent="0.3">
      <c r="A222" s="6">
        <f>SUBTOTAL(3,$I$2:I222)*1</f>
        <v>221</v>
      </c>
      <c r="B222" s="21" t="s">
        <v>25</v>
      </c>
      <c r="C222" s="6" t="s">
        <v>962</v>
      </c>
      <c r="D222" s="6">
        <v>1</v>
      </c>
      <c r="E222" s="6" t="s">
        <v>107</v>
      </c>
      <c r="F222" s="6">
        <v>0</v>
      </c>
      <c r="G222" s="6" t="s">
        <v>399</v>
      </c>
      <c r="H222" s="6" t="s">
        <v>56</v>
      </c>
      <c r="I222" s="6" t="s">
        <v>420</v>
      </c>
      <c r="J222" s="6" t="s">
        <v>421</v>
      </c>
      <c r="K222" s="6" t="s">
        <v>33</v>
      </c>
      <c r="L222" s="6" t="s">
        <v>34</v>
      </c>
      <c r="M222" s="6" t="s">
        <v>35</v>
      </c>
      <c r="N222" s="6" t="s">
        <v>853</v>
      </c>
      <c r="O222" s="6" t="s">
        <v>858</v>
      </c>
      <c r="P222" s="6" t="s">
        <v>859</v>
      </c>
      <c r="T222" s="6" t="s">
        <v>424</v>
      </c>
      <c r="U222" s="7">
        <f t="shared" si="25"/>
        <v>45740</v>
      </c>
      <c r="V222" s="6">
        <f t="shared" si="26"/>
        <v>13</v>
      </c>
      <c r="W222" s="8" t="str">
        <f t="shared" si="27"/>
        <v>18:11</v>
      </c>
      <c r="X222" s="8" t="str">
        <f t="shared" si="28"/>
        <v>21:31</v>
      </c>
      <c r="Y222" s="9">
        <f t="shared" si="29"/>
        <v>0.13888888888888895</v>
      </c>
      <c r="Z222" s="22" t="str">
        <f t="shared" si="24"/>
        <v>2025-03-24 월 (18:11~21:31) : 3시간 20분</v>
      </c>
      <c r="AA222" s="22"/>
      <c r="AB222" s="6" t="str">
        <f ca="1">_xlfn.XLOOKUP(I222, 기초데이터!$C$2:$C$305, 기초데이터!$U$2:$U$305)</f>
        <v>manjae.jeon@neurophet.com</v>
      </c>
    </row>
    <row r="223" spans="1:28" x14ac:dyDescent="0.3">
      <c r="A223" s="6">
        <f>SUBTOTAL(3,$I$2:I223)*1</f>
        <v>222</v>
      </c>
      <c r="B223" s="21" t="s">
        <v>25</v>
      </c>
      <c r="C223" s="6" t="s">
        <v>963</v>
      </c>
      <c r="D223" s="6">
        <v>1</v>
      </c>
      <c r="E223" s="6" t="s">
        <v>53</v>
      </c>
      <c r="F223" s="6">
        <v>0</v>
      </c>
      <c r="G223" s="6" t="s">
        <v>29</v>
      </c>
      <c r="H223" s="6" t="s">
        <v>56</v>
      </c>
      <c r="I223" s="6" t="s">
        <v>57</v>
      </c>
      <c r="J223" s="6" t="s">
        <v>58</v>
      </c>
      <c r="K223" s="6" t="s">
        <v>33</v>
      </c>
      <c r="L223" s="6" t="s">
        <v>34</v>
      </c>
      <c r="M223" s="6" t="s">
        <v>35</v>
      </c>
      <c r="N223" s="6" t="s">
        <v>957</v>
      </c>
      <c r="O223" s="6" t="s">
        <v>964</v>
      </c>
      <c r="P223" s="6" t="s">
        <v>965</v>
      </c>
      <c r="U223" s="7">
        <f t="shared" si="25"/>
        <v>45739</v>
      </c>
      <c r="V223" s="6">
        <f t="shared" si="26"/>
        <v>12</v>
      </c>
      <c r="W223" s="8" t="str">
        <f t="shared" si="27"/>
        <v>14:08</v>
      </c>
      <c r="X223" s="8" t="str">
        <f t="shared" si="28"/>
        <v>18:09</v>
      </c>
      <c r="Y223" s="9">
        <f t="shared" si="29"/>
        <v>0.16736111111111107</v>
      </c>
      <c r="Z223" s="22" t="str">
        <f t="shared" si="24"/>
        <v>2025-03-23 일 (14:08~18:09) : 4시간 1분</v>
      </c>
      <c r="AA223" s="22"/>
      <c r="AB223" s="6" t="str">
        <f ca="1">_xlfn.XLOOKUP(I223, 기초데이터!$C$2:$C$305, 기초데이터!$U$2:$U$305)</f>
        <v>hsyang@neurophet.com</v>
      </c>
    </row>
    <row r="224" spans="1:28" x14ac:dyDescent="0.3">
      <c r="A224" s="6">
        <f>SUBTOTAL(3,$I$2:I224)*1</f>
        <v>223</v>
      </c>
      <c r="B224" s="21" t="s">
        <v>25</v>
      </c>
      <c r="C224" s="6" t="s">
        <v>966</v>
      </c>
      <c r="D224" s="6">
        <v>1</v>
      </c>
      <c r="E224" s="6" t="s">
        <v>443</v>
      </c>
      <c r="F224" s="6">
        <v>0</v>
      </c>
      <c r="G224" s="6" t="s">
        <v>29</v>
      </c>
      <c r="H224" s="6" t="s">
        <v>56</v>
      </c>
      <c r="I224" s="6" t="s">
        <v>57</v>
      </c>
      <c r="J224" s="6" t="s">
        <v>58</v>
      </c>
      <c r="K224" s="6" t="s">
        <v>33</v>
      </c>
      <c r="L224" s="6" t="s">
        <v>34</v>
      </c>
      <c r="M224" s="6" t="s">
        <v>35</v>
      </c>
      <c r="N224" s="6" t="s">
        <v>957</v>
      </c>
      <c r="O224" s="6" t="s">
        <v>964</v>
      </c>
      <c r="P224" s="6" t="s">
        <v>965</v>
      </c>
      <c r="T224" s="6" t="s">
        <v>967</v>
      </c>
      <c r="U224" s="7">
        <f t="shared" si="25"/>
        <v>45739</v>
      </c>
      <c r="V224" s="6">
        <f t="shared" si="26"/>
        <v>12</v>
      </c>
      <c r="W224" s="8" t="str">
        <f t="shared" si="27"/>
        <v>11:41</v>
      </c>
      <c r="X224" s="8" t="str">
        <f t="shared" si="28"/>
        <v>13:30</v>
      </c>
      <c r="Y224" s="9">
        <f t="shared" si="29"/>
        <v>7.5694444444444453E-2</v>
      </c>
      <c r="Z224" s="22" t="str">
        <f t="shared" si="24"/>
        <v>2025-03-23 일 (11:41~13:30) : 1시간 49분</v>
      </c>
      <c r="AA224" s="22"/>
      <c r="AB224" s="6" t="str">
        <f ca="1">_xlfn.XLOOKUP(I224, 기초데이터!$C$2:$C$305, 기초데이터!$U$2:$U$305)</f>
        <v>hsyang@neurophet.com</v>
      </c>
    </row>
    <row r="225" spans="1:28" x14ac:dyDescent="0.3">
      <c r="A225" s="6">
        <f>SUBTOTAL(3,$I$2:I225)*1</f>
        <v>224</v>
      </c>
      <c r="B225" s="21" t="s">
        <v>25</v>
      </c>
      <c r="C225" s="6" t="s">
        <v>968</v>
      </c>
      <c r="D225" s="6">
        <v>1</v>
      </c>
      <c r="E225" s="6" t="s">
        <v>469</v>
      </c>
      <c r="F225" s="6">
        <v>0</v>
      </c>
      <c r="G225" s="6" t="s">
        <v>29</v>
      </c>
      <c r="H225" s="6" t="s">
        <v>30</v>
      </c>
      <c r="I225" s="6" t="s">
        <v>64</v>
      </c>
      <c r="J225" s="6" t="s">
        <v>65</v>
      </c>
      <c r="K225" s="6" t="s">
        <v>33</v>
      </c>
      <c r="L225" s="6" t="s">
        <v>34</v>
      </c>
      <c r="M225" s="6" t="s">
        <v>35</v>
      </c>
      <c r="N225" s="6" t="s">
        <v>957</v>
      </c>
      <c r="O225" s="6" t="s">
        <v>969</v>
      </c>
      <c r="P225" s="6" t="s">
        <v>970</v>
      </c>
      <c r="T225" s="6" t="s">
        <v>971</v>
      </c>
      <c r="U225" s="7">
        <f t="shared" si="25"/>
        <v>45739</v>
      </c>
      <c r="V225" s="6">
        <f t="shared" si="26"/>
        <v>12</v>
      </c>
      <c r="W225" s="8" t="str">
        <f t="shared" si="27"/>
        <v>12:28</v>
      </c>
      <c r="X225" s="8" t="str">
        <f t="shared" si="28"/>
        <v>13:31</v>
      </c>
      <c r="Y225" s="9">
        <f t="shared" si="29"/>
        <v>4.3749999999999956E-2</v>
      </c>
      <c r="Z225" s="22" t="str">
        <f t="shared" si="24"/>
        <v>2025-03-23 일 (12:28~13:31) : 1시간 3분</v>
      </c>
      <c r="AA225" s="22"/>
      <c r="AB225" s="6" t="str">
        <f ca="1">_xlfn.XLOOKUP(I225, 기초데이터!$C$2:$C$305, 기초데이터!$U$2:$U$305)</f>
        <v>doyeon@neurophet.com</v>
      </c>
    </row>
    <row r="226" spans="1:28" x14ac:dyDescent="0.3">
      <c r="A226" s="6">
        <f>SUBTOTAL(3,$I$2:I226)*1</f>
        <v>225</v>
      </c>
      <c r="B226" s="21" t="s">
        <v>25</v>
      </c>
      <c r="C226" s="6" t="s">
        <v>972</v>
      </c>
      <c r="D226" s="6">
        <v>1</v>
      </c>
      <c r="E226" s="6" t="s">
        <v>73</v>
      </c>
      <c r="F226" s="6">
        <v>0</v>
      </c>
      <c r="G226" s="6" t="s">
        <v>29</v>
      </c>
      <c r="H226" s="6" t="s">
        <v>30</v>
      </c>
      <c r="I226" s="6" t="s">
        <v>64</v>
      </c>
      <c r="J226" s="6" t="s">
        <v>65</v>
      </c>
      <c r="K226" s="6" t="s">
        <v>33</v>
      </c>
      <c r="L226" s="6" t="s">
        <v>34</v>
      </c>
      <c r="M226" s="6" t="s">
        <v>35</v>
      </c>
      <c r="N226" s="6" t="s">
        <v>957</v>
      </c>
      <c r="O226" s="6" t="s">
        <v>969</v>
      </c>
      <c r="P226" s="6" t="s">
        <v>973</v>
      </c>
      <c r="T226" s="6" t="s">
        <v>971</v>
      </c>
      <c r="U226" s="7">
        <f t="shared" si="25"/>
        <v>45739</v>
      </c>
      <c r="V226" s="6">
        <f t="shared" si="26"/>
        <v>12</v>
      </c>
      <c r="W226" s="8" t="str">
        <f t="shared" si="27"/>
        <v>14:08</v>
      </c>
      <c r="X226" s="8" t="str">
        <f t="shared" si="28"/>
        <v>16:59</v>
      </c>
      <c r="Y226" s="9">
        <f t="shared" si="29"/>
        <v>0.11875000000000002</v>
      </c>
      <c r="Z226" s="22" t="str">
        <f t="shared" si="24"/>
        <v>2025-03-23 일 (14:08~16:59) : 2시간 51분</v>
      </c>
      <c r="AA226" s="22"/>
      <c r="AB226" s="6" t="str">
        <f ca="1">_xlfn.XLOOKUP(I226, 기초데이터!$C$2:$C$305, 기초데이터!$U$2:$U$305)</f>
        <v>doyeon@neurophet.com</v>
      </c>
    </row>
    <row r="227" spans="1:28" x14ac:dyDescent="0.3">
      <c r="A227" s="6">
        <f>SUBTOTAL(3,$I$2:I227)*1</f>
        <v>226</v>
      </c>
      <c r="B227" s="21" t="s">
        <v>25</v>
      </c>
      <c r="C227" s="6" t="s">
        <v>974</v>
      </c>
      <c r="D227" s="6">
        <v>1</v>
      </c>
      <c r="E227" s="6" t="s">
        <v>147</v>
      </c>
      <c r="F227" s="6">
        <v>0</v>
      </c>
      <c r="G227" s="6" t="s">
        <v>29</v>
      </c>
      <c r="H227" s="6" t="s">
        <v>30</v>
      </c>
      <c r="I227" s="6" t="s">
        <v>31</v>
      </c>
      <c r="J227" s="6" t="s">
        <v>32</v>
      </c>
      <c r="K227" s="6" t="s">
        <v>33</v>
      </c>
      <c r="L227" s="6" t="s">
        <v>34</v>
      </c>
      <c r="M227" s="6" t="s">
        <v>35</v>
      </c>
      <c r="N227" s="6" t="s">
        <v>957</v>
      </c>
      <c r="O227" s="6" t="s">
        <v>975</v>
      </c>
      <c r="P227" s="6" t="s">
        <v>976</v>
      </c>
      <c r="T227" s="6" t="s">
        <v>977</v>
      </c>
      <c r="U227" s="7">
        <f t="shared" si="25"/>
        <v>45739</v>
      </c>
      <c r="V227" s="6">
        <f t="shared" si="26"/>
        <v>12</v>
      </c>
      <c r="W227" s="8" t="str">
        <f t="shared" si="27"/>
        <v>11:50</v>
      </c>
      <c r="X227" s="8" t="str">
        <f t="shared" si="28"/>
        <v>17:07</v>
      </c>
      <c r="Y227" s="9">
        <f t="shared" si="29"/>
        <v>0.22013888888888888</v>
      </c>
      <c r="Z227" s="22" t="str">
        <f t="shared" si="24"/>
        <v>2025-03-23 일 (11:50~17:07) : 5시간 17분</v>
      </c>
      <c r="AA227" s="22"/>
      <c r="AB227" s="6" t="str">
        <f ca="1">_xlfn.XLOOKUP(I227, 기초데이터!$C$2:$C$305, 기초데이터!$U$2:$U$305)</f>
        <v>kgy@neurophet.com</v>
      </c>
    </row>
    <row r="228" spans="1:28" x14ac:dyDescent="0.3">
      <c r="A228" s="6">
        <f>SUBTOTAL(3,$I$2:I228)*1</f>
        <v>227</v>
      </c>
      <c r="B228" s="21" t="s">
        <v>25</v>
      </c>
      <c r="C228" s="6" t="s">
        <v>978</v>
      </c>
      <c r="D228" s="6">
        <v>1</v>
      </c>
      <c r="E228" s="6" t="s">
        <v>979</v>
      </c>
      <c r="F228" s="6">
        <v>0</v>
      </c>
      <c r="G228" s="6" t="s">
        <v>148</v>
      </c>
      <c r="H228" s="6" t="s">
        <v>30</v>
      </c>
      <c r="I228" s="6" t="s">
        <v>149</v>
      </c>
      <c r="J228" s="6" t="s">
        <v>150</v>
      </c>
      <c r="K228" s="6" t="s">
        <v>33</v>
      </c>
      <c r="L228" s="6" t="s">
        <v>34</v>
      </c>
      <c r="M228" s="6" t="s">
        <v>35</v>
      </c>
      <c r="N228" s="6" t="s">
        <v>930</v>
      </c>
      <c r="O228" s="6" t="s">
        <v>942</v>
      </c>
      <c r="P228" s="6" t="s">
        <v>943</v>
      </c>
      <c r="T228" s="6" t="s">
        <v>980</v>
      </c>
      <c r="U228" s="7">
        <f t="shared" si="25"/>
        <v>45738</v>
      </c>
      <c r="V228" s="6">
        <f t="shared" si="26"/>
        <v>12</v>
      </c>
      <c r="W228" s="8" t="str">
        <f t="shared" si="27"/>
        <v>10:08</v>
      </c>
      <c r="X228" s="8" t="str">
        <f t="shared" si="28"/>
        <v>16:53</v>
      </c>
      <c r="Y228" s="9">
        <f t="shared" si="29"/>
        <v>0.28125000000000006</v>
      </c>
      <c r="Z228" s="22" t="str">
        <f t="shared" si="24"/>
        <v>2025-03-22 토 (10:08~16:53) : 6시간 45분</v>
      </c>
      <c r="AA228" s="22"/>
      <c r="AB228" s="6" t="str">
        <f ca="1">_xlfn.XLOOKUP(I228, 기초데이터!$C$2:$C$305, 기초데이터!$U$2:$U$305)</f>
        <v>sjsj0331@neurophet.com</v>
      </c>
    </row>
    <row r="229" spans="1:28" x14ac:dyDescent="0.3">
      <c r="A229" s="6">
        <f>SUBTOTAL(3,$I$2:I229)*1</f>
        <v>228</v>
      </c>
      <c r="B229" s="21" t="s">
        <v>25</v>
      </c>
      <c r="C229" s="6" t="s">
        <v>981</v>
      </c>
      <c r="D229" s="6">
        <v>1</v>
      </c>
      <c r="E229" s="6" t="s">
        <v>393</v>
      </c>
      <c r="F229" s="6">
        <v>0</v>
      </c>
      <c r="G229" s="6" t="s">
        <v>29</v>
      </c>
      <c r="H229" s="6" t="s">
        <v>56</v>
      </c>
      <c r="I229" s="6" t="s">
        <v>57</v>
      </c>
      <c r="J229" s="6" t="s">
        <v>58</v>
      </c>
      <c r="K229" s="6" t="s">
        <v>33</v>
      </c>
      <c r="L229" s="6" t="s">
        <v>34</v>
      </c>
      <c r="M229" s="6" t="s">
        <v>35</v>
      </c>
      <c r="N229" s="6" t="s">
        <v>957</v>
      </c>
      <c r="O229" s="6" t="s">
        <v>964</v>
      </c>
      <c r="P229" s="6" t="s">
        <v>965</v>
      </c>
      <c r="T229" s="6" t="s">
        <v>967</v>
      </c>
      <c r="U229" s="7">
        <f t="shared" si="25"/>
        <v>45738</v>
      </c>
      <c r="V229" s="6">
        <f t="shared" si="26"/>
        <v>12</v>
      </c>
      <c r="W229" s="8" t="str">
        <f t="shared" si="27"/>
        <v>11:39</v>
      </c>
      <c r="X229" s="8" t="str">
        <f t="shared" si="28"/>
        <v>14:15</v>
      </c>
      <c r="Y229" s="9">
        <f t="shared" si="29"/>
        <v>0.10833333333333334</v>
      </c>
      <c r="Z229" s="22" t="str">
        <f t="shared" si="24"/>
        <v>2025-03-22 토 (11:39~14:15) : 2시간 36분</v>
      </c>
      <c r="AA229" s="22"/>
      <c r="AB229" s="6" t="str">
        <f ca="1">_xlfn.XLOOKUP(I229, 기초데이터!$C$2:$C$305, 기초데이터!$U$2:$U$305)</f>
        <v>hsyang@neurophet.com</v>
      </c>
    </row>
    <row r="230" spans="1:28" x14ac:dyDescent="0.3">
      <c r="A230" s="6">
        <f>SUBTOTAL(3,$I$2:I230)*1</f>
        <v>229</v>
      </c>
      <c r="B230" s="21" t="s">
        <v>25</v>
      </c>
      <c r="C230" s="6" t="s">
        <v>982</v>
      </c>
      <c r="D230" s="6">
        <v>1</v>
      </c>
      <c r="E230" s="6" t="s">
        <v>929</v>
      </c>
      <c r="F230" s="6">
        <v>0</v>
      </c>
      <c r="G230" s="6" t="s">
        <v>29</v>
      </c>
      <c r="H230" s="6" t="s">
        <v>56</v>
      </c>
      <c r="I230" s="6" t="s">
        <v>57</v>
      </c>
      <c r="J230" s="6" t="s">
        <v>58</v>
      </c>
      <c r="K230" s="6" t="s">
        <v>33</v>
      </c>
      <c r="L230" s="6" t="s">
        <v>34</v>
      </c>
      <c r="M230" s="6" t="s">
        <v>35</v>
      </c>
      <c r="N230" s="6" t="s">
        <v>957</v>
      </c>
      <c r="O230" s="6" t="s">
        <v>964</v>
      </c>
      <c r="P230" s="6" t="s">
        <v>965</v>
      </c>
      <c r="U230" s="7">
        <f t="shared" si="25"/>
        <v>45738</v>
      </c>
      <c r="V230" s="6">
        <f t="shared" si="26"/>
        <v>12</v>
      </c>
      <c r="W230" s="8" t="str">
        <f t="shared" si="27"/>
        <v>15:15</v>
      </c>
      <c r="X230" s="8" t="str">
        <f t="shared" si="28"/>
        <v>17:11</v>
      </c>
      <c r="Y230" s="9">
        <f t="shared" si="29"/>
        <v>8.0555555555555602E-2</v>
      </c>
      <c r="Z230" s="22" t="str">
        <f t="shared" si="24"/>
        <v>2025-03-22 토 (15:15~17:11) : 1시간 56분</v>
      </c>
      <c r="AA230" s="22"/>
      <c r="AB230" s="6" t="str">
        <f ca="1">_xlfn.XLOOKUP(I230, 기초데이터!$C$2:$C$305, 기초데이터!$U$2:$U$305)</f>
        <v>hsyang@neurophet.com</v>
      </c>
    </row>
    <row r="231" spans="1:28" x14ac:dyDescent="0.3">
      <c r="A231" s="6">
        <f>SUBTOTAL(3,$I$2:I231)*1</f>
        <v>230</v>
      </c>
      <c r="B231" s="21" t="s">
        <v>25</v>
      </c>
      <c r="C231" s="6" t="s">
        <v>983</v>
      </c>
      <c r="D231" s="6">
        <v>1</v>
      </c>
      <c r="E231" s="6" t="s">
        <v>827</v>
      </c>
      <c r="F231" s="6">
        <v>0</v>
      </c>
      <c r="G231" s="6" t="s">
        <v>29</v>
      </c>
      <c r="H231" s="6" t="s">
        <v>30</v>
      </c>
      <c r="I231" s="6" t="s">
        <v>64</v>
      </c>
      <c r="J231" s="6" t="s">
        <v>65</v>
      </c>
      <c r="K231" s="6" t="s">
        <v>33</v>
      </c>
      <c r="L231" s="6" t="s">
        <v>34</v>
      </c>
      <c r="M231" s="6" t="s">
        <v>35</v>
      </c>
      <c r="N231" s="6" t="s">
        <v>957</v>
      </c>
      <c r="O231" s="6" t="s">
        <v>969</v>
      </c>
      <c r="P231" s="6" t="s">
        <v>970</v>
      </c>
      <c r="T231" s="6" t="s">
        <v>984</v>
      </c>
      <c r="U231" s="7">
        <f t="shared" si="25"/>
        <v>45738</v>
      </c>
      <c r="V231" s="6">
        <f t="shared" si="26"/>
        <v>12</v>
      </c>
      <c r="W231" s="8" t="str">
        <f t="shared" si="27"/>
        <v>12:45</v>
      </c>
      <c r="X231" s="8" t="str">
        <f t="shared" si="28"/>
        <v>14:10</v>
      </c>
      <c r="Y231" s="9">
        <f t="shared" si="29"/>
        <v>5.902777777777779E-2</v>
      </c>
      <c r="Z231" s="22" t="str">
        <f t="shared" si="24"/>
        <v>2025-03-22 토 (12:45~14:10) : 1시간 25분</v>
      </c>
      <c r="AA231" s="22"/>
      <c r="AB231" s="6" t="str">
        <f ca="1">_xlfn.XLOOKUP(I231, 기초데이터!$C$2:$C$305, 기초데이터!$U$2:$U$305)</f>
        <v>doyeon@neurophet.com</v>
      </c>
    </row>
    <row r="232" spans="1:28" x14ac:dyDescent="0.3">
      <c r="A232" s="6">
        <f>SUBTOTAL(3,$I$2:I232)*1</f>
        <v>231</v>
      </c>
      <c r="B232" s="21" t="s">
        <v>25</v>
      </c>
      <c r="C232" s="6" t="s">
        <v>985</v>
      </c>
      <c r="D232" s="6">
        <v>1</v>
      </c>
      <c r="E232" s="6" t="s">
        <v>50</v>
      </c>
      <c r="F232" s="6">
        <v>0</v>
      </c>
      <c r="G232" s="6" t="s">
        <v>29</v>
      </c>
      <c r="H232" s="6" t="s">
        <v>30</v>
      </c>
      <c r="I232" s="6" t="s">
        <v>64</v>
      </c>
      <c r="J232" s="6" t="s">
        <v>65</v>
      </c>
      <c r="K232" s="6" t="s">
        <v>33</v>
      </c>
      <c r="L232" s="6" t="s">
        <v>34</v>
      </c>
      <c r="M232" s="6" t="s">
        <v>35</v>
      </c>
      <c r="N232" s="6" t="s">
        <v>957</v>
      </c>
      <c r="O232" s="6" t="s">
        <v>969</v>
      </c>
      <c r="P232" s="6" t="s">
        <v>970</v>
      </c>
      <c r="T232" s="6" t="s">
        <v>984</v>
      </c>
      <c r="U232" s="7">
        <f t="shared" si="25"/>
        <v>45738</v>
      </c>
      <c r="V232" s="6">
        <f t="shared" si="26"/>
        <v>12</v>
      </c>
      <c r="W232" s="8" t="str">
        <f t="shared" si="27"/>
        <v>15:17</v>
      </c>
      <c r="X232" s="8" t="str">
        <f t="shared" si="28"/>
        <v>18:00</v>
      </c>
      <c r="Y232" s="9">
        <f t="shared" si="29"/>
        <v>0.11319444444444449</v>
      </c>
      <c r="Z232" s="22" t="str">
        <f t="shared" si="24"/>
        <v>2025-03-22 토 (15:17~18:00) : 2시간 43분</v>
      </c>
      <c r="AA232" s="22"/>
      <c r="AB232" s="6" t="str">
        <f ca="1">_xlfn.XLOOKUP(I232, 기초데이터!$C$2:$C$305, 기초데이터!$U$2:$U$305)</f>
        <v>doyeon@neurophet.com</v>
      </c>
    </row>
    <row r="233" spans="1:28" x14ac:dyDescent="0.3">
      <c r="A233" s="6">
        <f>SUBTOTAL(3,$I$2:I233)*1</f>
        <v>232</v>
      </c>
      <c r="B233" s="21" t="s">
        <v>25</v>
      </c>
      <c r="C233" s="6" t="s">
        <v>986</v>
      </c>
      <c r="D233" s="6">
        <v>1</v>
      </c>
      <c r="E233" s="6" t="s">
        <v>987</v>
      </c>
      <c r="F233" s="6">
        <v>0</v>
      </c>
      <c r="G233" s="6" t="s">
        <v>29</v>
      </c>
      <c r="H233" s="6" t="s">
        <v>30</v>
      </c>
      <c r="I233" s="6" t="s">
        <v>31</v>
      </c>
      <c r="J233" s="6" t="s">
        <v>32</v>
      </c>
      <c r="K233" s="6" t="s">
        <v>33</v>
      </c>
      <c r="L233" s="6" t="s">
        <v>34</v>
      </c>
      <c r="M233" s="6" t="s">
        <v>35</v>
      </c>
      <c r="N233" s="6" t="s">
        <v>957</v>
      </c>
      <c r="O233" s="6" t="s">
        <v>975</v>
      </c>
      <c r="P233" s="6" t="s">
        <v>976</v>
      </c>
      <c r="T233" s="6" t="s">
        <v>988</v>
      </c>
      <c r="U233" s="7">
        <f t="shared" si="25"/>
        <v>45738</v>
      </c>
      <c r="V233" s="6">
        <f t="shared" si="26"/>
        <v>12</v>
      </c>
      <c r="W233" s="8" t="str">
        <f t="shared" si="27"/>
        <v>12:40</v>
      </c>
      <c r="X233" s="8" t="str">
        <f t="shared" si="28"/>
        <v>18:10</v>
      </c>
      <c r="Y233" s="9">
        <f t="shared" si="29"/>
        <v>0.22916666666666663</v>
      </c>
      <c r="Z233" s="22" t="str">
        <f t="shared" si="24"/>
        <v>2025-03-22 토 (12:40~18:10) : 5시간 30분</v>
      </c>
      <c r="AA233" s="22"/>
      <c r="AB233" s="6" t="str">
        <f ca="1">_xlfn.XLOOKUP(I233, 기초데이터!$C$2:$C$305, 기초데이터!$U$2:$U$305)</f>
        <v>kgy@neurophet.com</v>
      </c>
    </row>
    <row r="234" spans="1:28" x14ac:dyDescent="0.3">
      <c r="A234" s="6">
        <f>SUBTOTAL(3,$I$2:I234)*1</f>
        <v>233</v>
      </c>
      <c r="B234" s="21" t="s">
        <v>25</v>
      </c>
      <c r="C234" s="6" t="s">
        <v>989</v>
      </c>
      <c r="D234" s="6">
        <v>1</v>
      </c>
      <c r="E234" s="6" t="s">
        <v>53</v>
      </c>
      <c r="F234" s="6">
        <v>0</v>
      </c>
      <c r="G234" s="6" t="s">
        <v>131</v>
      </c>
      <c r="H234" s="6" t="s">
        <v>56</v>
      </c>
      <c r="I234" s="6" t="s">
        <v>132</v>
      </c>
      <c r="J234" s="6" t="s">
        <v>133</v>
      </c>
      <c r="K234" s="6" t="s">
        <v>33</v>
      </c>
      <c r="L234" s="6" t="s">
        <v>34</v>
      </c>
      <c r="M234" s="6" t="s">
        <v>35</v>
      </c>
      <c r="N234" s="6" t="s">
        <v>990</v>
      </c>
      <c r="O234" s="6" t="s">
        <v>991</v>
      </c>
      <c r="P234" s="6" t="s">
        <v>992</v>
      </c>
      <c r="T234" s="6" t="s">
        <v>993</v>
      </c>
      <c r="U234" s="7">
        <f t="shared" si="25"/>
        <v>45737</v>
      </c>
      <c r="V234" s="6">
        <f t="shared" si="26"/>
        <v>12</v>
      </c>
      <c r="W234" s="8" t="str">
        <f t="shared" si="27"/>
        <v>17:30</v>
      </c>
      <c r="X234" s="8" t="str">
        <f t="shared" si="28"/>
        <v>21:30</v>
      </c>
      <c r="Y234" s="9">
        <f t="shared" si="29"/>
        <v>0.16666666666666674</v>
      </c>
      <c r="Z234" s="22" t="str">
        <f t="shared" si="24"/>
        <v>2025-03-21 금 (17:30~21:30) : 4시간</v>
      </c>
      <c r="AA234" s="22"/>
      <c r="AB234" s="6" t="str">
        <f ca="1">_xlfn.XLOOKUP(I234, 기초데이터!$C$2:$C$305, 기초데이터!$U$2:$U$305)</f>
        <v>kelly.seo@neurophet.com</v>
      </c>
    </row>
    <row r="235" spans="1:28" x14ac:dyDescent="0.3">
      <c r="A235" s="6">
        <f>SUBTOTAL(3,$I$2:I235)*1</f>
        <v>234</v>
      </c>
      <c r="B235" s="21" t="s">
        <v>25</v>
      </c>
      <c r="C235" s="6" t="s">
        <v>994</v>
      </c>
      <c r="D235" s="6">
        <v>1</v>
      </c>
      <c r="E235" s="6" t="s">
        <v>128</v>
      </c>
      <c r="F235" s="6">
        <v>0</v>
      </c>
      <c r="G235" s="6" t="s">
        <v>355</v>
      </c>
      <c r="H235" s="6" t="s">
        <v>56</v>
      </c>
      <c r="I235" s="6" t="s">
        <v>475</v>
      </c>
      <c r="J235" s="6" t="s">
        <v>476</v>
      </c>
      <c r="K235" s="6" t="s">
        <v>33</v>
      </c>
      <c r="L235" s="6" t="s">
        <v>34</v>
      </c>
      <c r="M235" s="6" t="s">
        <v>35</v>
      </c>
      <c r="N235" s="6" t="s">
        <v>957</v>
      </c>
      <c r="O235" s="6" t="s">
        <v>995</v>
      </c>
      <c r="P235" s="6" t="s">
        <v>996</v>
      </c>
      <c r="T235" s="6" t="s">
        <v>997</v>
      </c>
      <c r="U235" s="7">
        <f t="shared" ref="U235:U266" si="30">DATEVALUE(LEFT(C235,10))</f>
        <v>45737</v>
      </c>
      <c r="V235" s="6">
        <f t="shared" ref="V235:V266" si="31">WEEKNUM(U235,21)</f>
        <v>12</v>
      </c>
      <c r="W235" s="8" t="str">
        <f t="shared" ref="W235:W266" si="32">MID(C235,12,5)</f>
        <v>18:40</v>
      </c>
      <c r="X235" s="8" t="str">
        <f t="shared" ref="X235:X266" si="33">MID(C235,32,5)</f>
        <v>20:40</v>
      </c>
      <c r="Y235" s="9">
        <f t="shared" ref="Y235:Y266" si="34">X235-W235</f>
        <v>8.333333333333337E-2</v>
      </c>
      <c r="Z235" s="22" t="str">
        <f t="shared" si="24"/>
        <v>2025-03-21 금 (18:40~20:40) : 2시간</v>
      </c>
      <c r="AA235" s="22"/>
      <c r="AB235" s="6" t="str">
        <f ca="1">_xlfn.XLOOKUP(I235, 기초데이터!$C$2:$C$305, 기초데이터!$U$2:$U$305)</f>
        <v>yschoe@neurophet.com</v>
      </c>
    </row>
    <row r="236" spans="1:28" x14ac:dyDescent="0.3">
      <c r="A236" s="6">
        <f>SUBTOTAL(3,$I$2:I236)*1</f>
        <v>235</v>
      </c>
      <c r="B236" s="21" t="s">
        <v>25</v>
      </c>
      <c r="C236" s="6" t="s">
        <v>998</v>
      </c>
      <c r="D236" s="6">
        <v>1</v>
      </c>
      <c r="E236" s="6" t="s">
        <v>77</v>
      </c>
      <c r="F236" s="6">
        <v>0</v>
      </c>
      <c r="G236" s="6" t="s">
        <v>276</v>
      </c>
      <c r="H236" s="6" t="s">
        <v>30</v>
      </c>
      <c r="I236" s="6" t="s">
        <v>879</v>
      </c>
      <c r="J236" s="6" t="s">
        <v>880</v>
      </c>
      <c r="K236" s="6" t="s">
        <v>33</v>
      </c>
      <c r="L236" s="6" t="s">
        <v>34</v>
      </c>
      <c r="M236" s="6" t="s">
        <v>35</v>
      </c>
      <c r="N236" s="6" t="s">
        <v>957</v>
      </c>
      <c r="O236" s="6" t="s">
        <v>999</v>
      </c>
      <c r="P236" s="6" t="s">
        <v>1000</v>
      </c>
      <c r="T236" s="6" t="s">
        <v>1001</v>
      </c>
      <c r="U236" s="7">
        <f t="shared" si="30"/>
        <v>45737</v>
      </c>
      <c r="V236" s="6">
        <f t="shared" si="31"/>
        <v>12</v>
      </c>
      <c r="W236" s="8" t="str">
        <f t="shared" si="32"/>
        <v>16:43</v>
      </c>
      <c r="X236" s="8" t="str">
        <f t="shared" si="33"/>
        <v>21:43</v>
      </c>
      <c r="Y236" s="9">
        <f t="shared" si="34"/>
        <v>0.20833333333333337</v>
      </c>
      <c r="Z236" s="22" t="str">
        <f t="shared" si="24"/>
        <v>2025-03-21 금 (16:43~21:43) : 5시간</v>
      </c>
      <c r="AA236" s="22"/>
      <c r="AB236" s="6" t="str">
        <f ca="1">_xlfn.XLOOKUP(I236, 기초데이터!$C$2:$C$305, 기초데이터!$U$2:$U$305)</f>
        <v>jwjeong@neurophet.com</v>
      </c>
    </row>
    <row r="237" spans="1:28" x14ac:dyDescent="0.3">
      <c r="A237" s="6">
        <f>SUBTOTAL(3,$I$2:I237)*1</f>
        <v>236</v>
      </c>
      <c r="B237" s="21" t="s">
        <v>25</v>
      </c>
      <c r="C237" s="6" t="s">
        <v>1002</v>
      </c>
      <c r="D237" s="6">
        <v>1</v>
      </c>
      <c r="E237" s="6" t="s">
        <v>101</v>
      </c>
      <c r="F237" s="6">
        <v>0</v>
      </c>
      <c r="G237" s="6" t="s">
        <v>399</v>
      </c>
      <c r="H237" s="6" t="s">
        <v>56</v>
      </c>
      <c r="I237" s="6" t="s">
        <v>420</v>
      </c>
      <c r="J237" s="6" t="s">
        <v>421</v>
      </c>
      <c r="K237" s="6" t="s">
        <v>33</v>
      </c>
      <c r="L237" s="6" t="s">
        <v>34</v>
      </c>
      <c r="M237" s="6" t="s">
        <v>35</v>
      </c>
      <c r="N237" s="6" t="s">
        <v>874</v>
      </c>
      <c r="O237" s="6" t="s">
        <v>1003</v>
      </c>
      <c r="P237" s="6" t="s">
        <v>1004</v>
      </c>
      <c r="T237" s="6" t="s">
        <v>424</v>
      </c>
      <c r="U237" s="7">
        <f t="shared" si="30"/>
        <v>45737</v>
      </c>
      <c r="V237" s="6">
        <f t="shared" si="31"/>
        <v>12</v>
      </c>
      <c r="W237" s="8" t="str">
        <f t="shared" si="32"/>
        <v>18:18</v>
      </c>
      <c r="X237" s="8" t="str">
        <f t="shared" si="33"/>
        <v>21:05</v>
      </c>
      <c r="Y237" s="9">
        <f t="shared" si="34"/>
        <v>0.11597222222222225</v>
      </c>
      <c r="Z237" s="22" t="str">
        <f t="shared" si="24"/>
        <v>2025-03-21 금 (18:18~21:05) : 2시간 47분</v>
      </c>
      <c r="AA237" s="22"/>
      <c r="AB237" s="6" t="str">
        <f ca="1">_xlfn.XLOOKUP(I237, 기초데이터!$C$2:$C$305, 기초데이터!$U$2:$U$305)</f>
        <v>manjae.jeon@neurophet.com</v>
      </c>
    </row>
    <row r="238" spans="1:28" x14ac:dyDescent="0.3">
      <c r="A238" s="6">
        <f>SUBTOTAL(3,$I$2:I238)*1</f>
        <v>237</v>
      </c>
      <c r="B238" s="21" t="s">
        <v>25</v>
      </c>
      <c r="C238" s="6" t="s">
        <v>1005</v>
      </c>
      <c r="D238" s="6">
        <v>1</v>
      </c>
      <c r="E238" s="6" t="s">
        <v>128</v>
      </c>
      <c r="F238" s="6">
        <v>0</v>
      </c>
      <c r="G238" s="6" t="s">
        <v>399</v>
      </c>
      <c r="H238" s="6" t="s">
        <v>30</v>
      </c>
      <c r="I238" s="6" t="s">
        <v>400</v>
      </c>
      <c r="J238" s="6" t="s">
        <v>401</v>
      </c>
      <c r="K238" s="6" t="s">
        <v>33</v>
      </c>
      <c r="L238" s="6" t="s">
        <v>34</v>
      </c>
      <c r="M238" s="6" t="s">
        <v>35</v>
      </c>
      <c r="N238" s="6" t="s">
        <v>945</v>
      </c>
      <c r="O238" s="6" t="s">
        <v>1006</v>
      </c>
      <c r="P238" s="6" t="s">
        <v>1007</v>
      </c>
      <c r="T238" s="6" t="s">
        <v>1008</v>
      </c>
      <c r="U238" s="7">
        <f t="shared" si="30"/>
        <v>45737</v>
      </c>
      <c r="V238" s="6">
        <f t="shared" si="31"/>
        <v>12</v>
      </c>
      <c r="W238" s="8" t="str">
        <f t="shared" si="32"/>
        <v>16:00</v>
      </c>
      <c r="X238" s="8" t="str">
        <f t="shared" si="33"/>
        <v>18:00</v>
      </c>
      <c r="Y238" s="9">
        <f t="shared" si="34"/>
        <v>8.333333333333337E-2</v>
      </c>
      <c r="Z238" s="22" t="str">
        <f t="shared" si="24"/>
        <v>2025-03-21 금 (16:00~18:00) : 2시간</v>
      </c>
      <c r="AA238" s="22"/>
      <c r="AB238" s="6" t="str">
        <f ca="1">_xlfn.XLOOKUP(I238, 기초데이터!$C$2:$C$305, 기초데이터!$U$2:$U$305)</f>
        <v>lsr@neurophet.com</v>
      </c>
    </row>
    <row r="239" spans="1:28" x14ac:dyDescent="0.3">
      <c r="A239" s="6">
        <f>SUBTOTAL(3,$I$2:I239)*1</f>
        <v>238</v>
      </c>
      <c r="B239" s="21" t="s">
        <v>25</v>
      </c>
      <c r="C239" s="6" t="s">
        <v>1009</v>
      </c>
      <c r="D239" s="6">
        <v>1</v>
      </c>
      <c r="E239" s="6" t="s">
        <v>303</v>
      </c>
      <c r="F239" s="6">
        <v>0</v>
      </c>
      <c r="G239" s="6" t="s">
        <v>383</v>
      </c>
      <c r="H239" s="6" t="s">
        <v>56</v>
      </c>
      <c r="I239" s="6" t="s">
        <v>384</v>
      </c>
      <c r="J239" s="6" t="s">
        <v>385</v>
      </c>
      <c r="K239" s="6" t="s">
        <v>33</v>
      </c>
      <c r="L239" s="6" t="s">
        <v>34</v>
      </c>
      <c r="M239" s="6" t="s">
        <v>35</v>
      </c>
      <c r="N239" s="6" t="s">
        <v>957</v>
      </c>
      <c r="O239" s="6" t="s">
        <v>1010</v>
      </c>
      <c r="P239" s="6" t="s">
        <v>1011</v>
      </c>
      <c r="T239" s="6" t="s">
        <v>1012</v>
      </c>
      <c r="U239" s="7">
        <f t="shared" si="30"/>
        <v>45737</v>
      </c>
      <c r="V239" s="6">
        <f t="shared" si="31"/>
        <v>12</v>
      </c>
      <c r="W239" s="8" t="str">
        <f t="shared" si="32"/>
        <v>19:25</v>
      </c>
      <c r="X239" s="8" t="str">
        <f t="shared" si="33"/>
        <v>21:32</v>
      </c>
      <c r="Y239" s="9">
        <f t="shared" si="34"/>
        <v>8.8194444444444464E-2</v>
      </c>
      <c r="Z239" s="22" t="str">
        <f t="shared" si="24"/>
        <v>2025-03-21 금 (19:25~21:32) : 2시간 7분</v>
      </c>
      <c r="AA239" s="22"/>
      <c r="AB239" s="6" t="str">
        <f ca="1">_xlfn.XLOOKUP(I239, 기초데이터!$C$2:$C$305, 기초데이터!$U$2:$U$305)</f>
        <v>jylee@neurophet.com</v>
      </c>
    </row>
    <row r="240" spans="1:28" x14ac:dyDescent="0.3">
      <c r="A240" s="6">
        <f>SUBTOTAL(3,$I$2:I240)*1</f>
        <v>239</v>
      </c>
      <c r="B240" s="21" t="s">
        <v>25</v>
      </c>
      <c r="C240" s="6" t="s">
        <v>1245</v>
      </c>
      <c r="D240" s="6">
        <v>1</v>
      </c>
      <c r="E240" s="6" t="s">
        <v>50</v>
      </c>
      <c r="F240" s="6">
        <v>0</v>
      </c>
      <c r="G240" s="6" t="s">
        <v>399</v>
      </c>
      <c r="H240" s="6" t="s">
        <v>30</v>
      </c>
      <c r="I240" s="6" t="s">
        <v>897</v>
      </c>
      <c r="J240" s="6" t="s">
        <v>898</v>
      </c>
      <c r="K240" s="6" t="s">
        <v>33</v>
      </c>
      <c r="L240" s="6" t="s">
        <v>34</v>
      </c>
      <c r="M240" s="6" t="s">
        <v>35</v>
      </c>
      <c r="N240" s="6" t="s">
        <v>853</v>
      </c>
      <c r="O240" s="6" t="s">
        <v>899</v>
      </c>
      <c r="P240" s="6" t="s">
        <v>1173</v>
      </c>
      <c r="T240" s="6" t="s">
        <v>901</v>
      </c>
      <c r="U240" s="11">
        <f t="shared" si="30"/>
        <v>45720</v>
      </c>
      <c r="V240" s="12">
        <f t="shared" si="31"/>
        <v>10</v>
      </c>
      <c r="W240" s="13" t="str">
        <f t="shared" si="32"/>
        <v>19:07</v>
      </c>
      <c r="X240" s="13" t="str">
        <f t="shared" si="33"/>
        <v>21:47</v>
      </c>
      <c r="Y240" s="14">
        <f t="shared" si="34"/>
        <v>0.11111111111111116</v>
      </c>
      <c r="Z240" s="22" t="str">
        <f t="shared" si="24"/>
        <v>2025-03-04 화 (19:07~21:47) : 2시간 40분</v>
      </c>
      <c r="AA240" s="22"/>
      <c r="AB240" s="6" t="str">
        <f ca="1">_xlfn.XLOOKUP(I240, 기초데이터!$C$2:$C$305, 기초데이터!$U$2:$U$305)</f>
        <v>sy.ha@neurophet.com</v>
      </c>
    </row>
    <row r="241" spans="1:28" x14ac:dyDescent="0.3">
      <c r="A241" s="6">
        <f>SUBTOTAL(3,$I$2:I241)*1</f>
        <v>240</v>
      </c>
      <c r="B241" s="21" t="s">
        <v>25</v>
      </c>
      <c r="C241" s="6" t="s">
        <v>1015</v>
      </c>
      <c r="D241" s="6">
        <v>1</v>
      </c>
      <c r="E241" s="6" t="s">
        <v>128</v>
      </c>
      <c r="F241" s="6">
        <v>0</v>
      </c>
      <c r="G241" s="6" t="s">
        <v>850</v>
      </c>
      <c r="H241" s="6" t="s">
        <v>30</v>
      </c>
      <c r="I241" s="6" t="s">
        <v>1016</v>
      </c>
      <c r="J241" s="6" t="s">
        <v>1017</v>
      </c>
      <c r="K241" s="6" t="s">
        <v>33</v>
      </c>
      <c r="L241" s="6" t="s">
        <v>34</v>
      </c>
      <c r="M241" s="6" t="s">
        <v>35</v>
      </c>
      <c r="N241" s="6" t="s">
        <v>1018</v>
      </c>
      <c r="O241" s="6" t="s">
        <v>1019</v>
      </c>
      <c r="P241" s="6" t="s">
        <v>1020</v>
      </c>
      <c r="T241" s="6" t="s">
        <v>1021</v>
      </c>
      <c r="U241" s="7">
        <f t="shared" si="30"/>
        <v>45736</v>
      </c>
      <c r="V241" s="6">
        <f t="shared" si="31"/>
        <v>12</v>
      </c>
      <c r="W241" s="8" t="str">
        <f t="shared" si="32"/>
        <v>19:58</v>
      </c>
      <c r="X241" s="8" t="str">
        <f t="shared" si="33"/>
        <v>21:58</v>
      </c>
      <c r="Y241" s="9">
        <f t="shared" si="34"/>
        <v>8.3333333333333259E-2</v>
      </c>
      <c r="Z241" s="22" t="str">
        <f t="shared" si="24"/>
        <v>2025-03-20 목 (19:58~21:58) : 2시간</v>
      </c>
      <c r="AA241" s="22"/>
      <c r="AB241" s="6" t="str">
        <f ca="1">_xlfn.XLOOKUP(I241, 기초데이터!$C$2:$C$305, 기초데이터!$U$2:$U$305)</f>
        <v>esjeong@neurophet.com</v>
      </c>
    </row>
    <row r="242" spans="1:28" x14ac:dyDescent="0.3">
      <c r="A242" s="6">
        <f>SUBTOTAL(3,$I$2:I242)*1</f>
        <v>241</v>
      </c>
      <c r="B242" s="21" t="s">
        <v>25</v>
      </c>
      <c r="C242" s="6" t="s">
        <v>1022</v>
      </c>
      <c r="D242" s="6">
        <v>1</v>
      </c>
      <c r="E242" s="6" t="s">
        <v>374</v>
      </c>
      <c r="F242" s="6">
        <v>0</v>
      </c>
      <c r="G242" s="6" t="s">
        <v>340</v>
      </c>
      <c r="H242" s="6" t="s">
        <v>30</v>
      </c>
      <c r="I242" s="6" t="s">
        <v>1023</v>
      </c>
      <c r="J242" s="6" t="s">
        <v>1024</v>
      </c>
      <c r="K242" s="6" t="s">
        <v>33</v>
      </c>
      <c r="L242" s="6" t="s">
        <v>34</v>
      </c>
      <c r="M242" s="6" t="s">
        <v>35</v>
      </c>
      <c r="N242" s="6" t="s">
        <v>957</v>
      </c>
      <c r="O242" s="6" t="s">
        <v>1025</v>
      </c>
      <c r="P242" s="6" t="s">
        <v>1026</v>
      </c>
      <c r="T242" s="6" t="s">
        <v>1027</v>
      </c>
      <c r="U242" s="7">
        <f t="shared" si="30"/>
        <v>45736</v>
      </c>
      <c r="V242" s="6">
        <f t="shared" si="31"/>
        <v>12</v>
      </c>
      <c r="W242" s="8" t="str">
        <f t="shared" si="32"/>
        <v>17:47</v>
      </c>
      <c r="X242" s="8" t="str">
        <f t="shared" si="33"/>
        <v>21:30</v>
      </c>
      <c r="Y242" s="9">
        <f t="shared" si="34"/>
        <v>0.15486111111111112</v>
      </c>
      <c r="Z242" s="22" t="str">
        <f t="shared" si="24"/>
        <v>2025-03-20 목 (17:47~21:30) : 3시간 43분</v>
      </c>
      <c r="AA242" s="22"/>
      <c r="AB242" s="6" t="str">
        <f ca="1">_xlfn.XLOOKUP(I242, 기초데이터!$C$2:$C$305, 기초데이터!$U$2:$U$305)</f>
        <v>cheesu@neurophet.com</v>
      </c>
    </row>
    <row r="243" spans="1:28" x14ac:dyDescent="0.3">
      <c r="A243" s="6">
        <f>SUBTOTAL(3,$I$2:I243)*1</f>
        <v>242</v>
      </c>
      <c r="B243" s="21" t="s">
        <v>25</v>
      </c>
      <c r="C243" s="6" t="s">
        <v>1028</v>
      </c>
      <c r="D243" s="6">
        <v>1</v>
      </c>
      <c r="E243" s="6" t="s">
        <v>443</v>
      </c>
      <c r="F243" s="6">
        <v>0</v>
      </c>
      <c r="G243" s="6" t="s">
        <v>148</v>
      </c>
      <c r="H243" s="6" t="s">
        <v>30</v>
      </c>
      <c r="I243" s="6" t="s">
        <v>149</v>
      </c>
      <c r="J243" s="6" t="s">
        <v>150</v>
      </c>
      <c r="K243" s="6" t="s">
        <v>33</v>
      </c>
      <c r="L243" s="6" t="s">
        <v>34</v>
      </c>
      <c r="M243" s="6" t="s">
        <v>35</v>
      </c>
      <c r="N243" s="6" t="s">
        <v>1018</v>
      </c>
      <c r="O243" s="6" t="s">
        <v>1029</v>
      </c>
      <c r="P243" s="6" t="s">
        <v>1030</v>
      </c>
      <c r="T243" s="6" t="s">
        <v>872</v>
      </c>
      <c r="U243" s="7">
        <f t="shared" si="30"/>
        <v>45736</v>
      </c>
      <c r="V243" s="6">
        <f t="shared" si="31"/>
        <v>12</v>
      </c>
      <c r="W243" s="8" t="str">
        <f t="shared" si="32"/>
        <v>18:30</v>
      </c>
      <c r="X243" s="8" t="str">
        <f t="shared" si="33"/>
        <v>20:18</v>
      </c>
      <c r="Y243" s="9">
        <f t="shared" si="34"/>
        <v>7.4999999999999956E-2</v>
      </c>
      <c r="Z243" s="22" t="str">
        <f t="shared" si="24"/>
        <v>2025-03-20 목 (18:30~20:18) : 1시간 48분</v>
      </c>
      <c r="AA243" s="22"/>
      <c r="AB243" s="6" t="str">
        <f ca="1">_xlfn.XLOOKUP(I243, 기초데이터!$C$2:$C$305, 기초데이터!$U$2:$U$305)</f>
        <v>sjsj0331@neurophet.com</v>
      </c>
    </row>
    <row r="244" spans="1:28" x14ac:dyDescent="0.3">
      <c r="A244" s="6">
        <f>SUBTOTAL(3,$I$2:I244)*1</f>
        <v>243</v>
      </c>
      <c r="B244" s="21" t="s">
        <v>25</v>
      </c>
      <c r="C244" s="6" t="s">
        <v>1031</v>
      </c>
      <c r="D244" s="6">
        <v>1</v>
      </c>
      <c r="E244" s="6" t="s">
        <v>128</v>
      </c>
      <c r="F244" s="6">
        <v>0</v>
      </c>
      <c r="G244" s="6" t="s">
        <v>131</v>
      </c>
      <c r="H244" s="6" t="s">
        <v>56</v>
      </c>
      <c r="I244" s="6" t="s">
        <v>132</v>
      </c>
      <c r="J244" s="6" t="s">
        <v>133</v>
      </c>
      <c r="K244" s="6" t="s">
        <v>33</v>
      </c>
      <c r="L244" s="6" t="s">
        <v>34</v>
      </c>
      <c r="M244" s="6" t="s">
        <v>35</v>
      </c>
      <c r="N244" s="6" t="s">
        <v>1032</v>
      </c>
      <c r="O244" s="6" t="s">
        <v>1033</v>
      </c>
      <c r="P244" s="6" t="s">
        <v>1034</v>
      </c>
      <c r="T244" s="6" t="s">
        <v>1035</v>
      </c>
      <c r="U244" s="7">
        <f t="shared" si="30"/>
        <v>45735</v>
      </c>
      <c r="V244" s="6">
        <f t="shared" si="31"/>
        <v>12</v>
      </c>
      <c r="W244" s="8" t="str">
        <f t="shared" si="32"/>
        <v>17:30</v>
      </c>
      <c r="X244" s="8" t="str">
        <f t="shared" si="33"/>
        <v>19:30</v>
      </c>
      <c r="Y244" s="9">
        <f t="shared" si="34"/>
        <v>8.333333333333337E-2</v>
      </c>
      <c r="Z244" s="22" t="str">
        <f t="shared" si="24"/>
        <v>2025-03-19 수 (17:30~19:30) : 2시간</v>
      </c>
      <c r="AA244" s="22"/>
      <c r="AB244" s="6" t="str">
        <f ca="1">_xlfn.XLOOKUP(I244, 기초데이터!$C$2:$C$305, 기초데이터!$U$2:$U$305)</f>
        <v>kelly.seo@neurophet.com</v>
      </c>
    </row>
    <row r="245" spans="1:28" x14ac:dyDescent="0.3">
      <c r="A245" s="6">
        <f>SUBTOTAL(3,$I$2:I245)*1</f>
        <v>244</v>
      </c>
      <c r="B245" s="21" t="s">
        <v>25</v>
      </c>
      <c r="C245" s="6" t="s">
        <v>1036</v>
      </c>
      <c r="D245" s="6">
        <v>1</v>
      </c>
      <c r="E245" s="6" t="s">
        <v>237</v>
      </c>
      <c r="F245" s="6">
        <v>0</v>
      </c>
      <c r="G245" s="6" t="s">
        <v>326</v>
      </c>
      <c r="H245" s="6" t="s">
        <v>56</v>
      </c>
      <c r="I245" s="6" t="s">
        <v>327</v>
      </c>
      <c r="J245" s="6" t="s">
        <v>328</v>
      </c>
      <c r="K245" s="6" t="s">
        <v>33</v>
      </c>
      <c r="L245" s="6" t="s">
        <v>34</v>
      </c>
      <c r="M245" s="6" t="s">
        <v>35</v>
      </c>
      <c r="N245" s="6" t="s">
        <v>1032</v>
      </c>
      <c r="O245" s="6" t="s">
        <v>1037</v>
      </c>
      <c r="P245" s="6" t="s">
        <v>1038</v>
      </c>
      <c r="T245" s="6" t="s">
        <v>1039</v>
      </c>
      <c r="U245" s="7">
        <f t="shared" si="30"/>
        <v>45735</v>
      </c>
      <c r="V245" s="6">
        <f t="shared" si="31"/>
        <v>12</v>
      </c>
      <c r="W245" s="8" t="str">
        <f t="shared" si="32"/>
        <v>16:07</v>
      </c>
      <c r="X245" s="8" t="str">
        <f t="shared" si="33"/>
        <v>18:17</v>
      </c>
      <c r="Y245" s="9">
        <f t="shared" si="34"/>
        <v>9.027777777777779E-2</v>
      </c>
      <c r="Z245" s="22" t="str">
        <f t="shared" si="24"/>
        <v>2025-03-19 수 (16:07~18:17) : 2시간 10분</v>
      </c>
      <c r="AA245" s="22"/>
      <c r="AB245" s="6" t="str">
        <f ca="1">_xlfn.XLOOKUP(I245, 기초데이터!$C$2:$C$305, 기초데이터!$U$2:$U$305)</f>
        <v>kahee@neurophet.com</v>
      </c>
    </row>
    <row r="246" spans="1:28" x14ac:dyDescent="0.3">
      <c r="A246" s="6">
        <f>SUBTOTAL(3,$I$2:I246)*1</f>
        <v>245</v>
      </c>
      <c r="B246" s="21" t="s">
        <v>25</v>
      </c>
      <c r="C246" s="6" t="s">
        <v>1040</v>
      </c>
      <c r="D246" s="6">
        <v>1</v>
      </c>
      <c r="E246" s="6" t="s">
        <v>347</v>
      </c>
      <c r="F246" s="6">
        <v>0</v>
      </c>
      <c r="G246" s="6" t="s">
        <v>131</v>
      </c>
      <c r="H246" s="6" t="s">
        <v>30</v>
      </c>
      <c r="I246" s="6" t="s">
        <v>713</v>
      </c>
      <c r="J246" s="6" t="s">
        <v>714</v>
      </c>
      <c r="K246" s="6" t="s">
        <v>33</v>
      </c>
      <c r="L246" s="6" t="s">
        <v>34</v>
      </c>
      <c r="M246" s="6" t="s">
        <v>35</v>
      </c>
      <c r="N246" s="6" t="s">
        <v>1018</v>
      </c>
      <c r="O246" s="6" t="s">
        <v>1041</v>
      </c>
      <c r="P246" s="6" t="s">
        <v>1042</v>
      </c>
      <c r="T246" s="6" t="s">
        <v>1043</v>
      </c>
      <c r="U246" s="7">
        <f t="shared" si="30"/>
        <v>45735</v>
      </c>
      <c r="V246" s="6">
        <f t="shared" si="31"/>
        <v>12</v>
      </c>
      <c r="W246" s="8" t="str">
        <f t="shared" si="32"/>
        <v>16:23</v>
      </c>
      <c r="X246" s="8" t="str">
        <f t="shared" si="33"/>
        <v>17:56</v>
      </c>
      <c r="Y246" s="9">
        <f t="shared" si="34"/>
        <v>6.4583333333333326E-2</v>
      </c>
      <c r="Z246" s="22" t="str">
        <f t="shared" si="24"/>
        <v>2025-03-19 수 (16:23~17:56) : 1시간 33분</v>
      </c>
      <c r="AA246" s="22"/>
      <c r="AB246" s="6" t="str">
        <f ca="1">_xlfn.XLOOKUP(I246, 기초데이터!$C$2:$C$305, 기초데이터!$U$2:$U$305)</f>
        <v>jieunlee@neurophet.com</v>
      </c>
    </row>
    <row r="247" spans="1:28" x14ac:dyDescent="0.3">
      <c r="A247" s="6">
        <f>SUBTOTAL(3,$I$2:I247)*1</f>
        <v>246</v>
      </c>
      <c r="B247" s="21" t="s">
        <v>25</v>
      </c>
      <c r="C247" s="6" t="s">
        <v>1044</v>
      </c>
      <c r="D247" s="6">
        <v>1</v>
      </c>
      <c r="E247" s="6" t="s">
        <v>107</v>
      </c>
      <c r="F247" s="6">
        <v>0</v>
      </c>
      <c r="G247" s="6" t="s">
        <v>340</v>
      </c>
      <c r="H247" s="6" t="s">
        <v>30</v>
      </c>
      <c r="I247" s="6" t="s">
        <v>1023</v>
      </c>
      <c r="J247" s="6" t="s">
        <v>1024</v>
      </c>
      <c r="K247" s="6" t="s">
        <v>33</v>
      </c>
      <c r="L247" s="6" t="s">
        <v>34</v>
      </c>
      <c r="M247" s="6" t="s">
        <v>35</v>
      </c>
      <c r="N247" s="6" t="s">
        <v>1045</v>
      </c>
      <c r="O247" s="6" t="s">
        <v>1046</v>
      </c>
      <c r="P247" s="6" t="s">
        <v>1047</v>
      </c>
      <c r="T247" s="6" t="s">
        <v>1048</v>
      </c>
      <c r="U247" s="7">
        <f t="shared" si="30"/>
        <v>45735</v>
      </c>
      <c r="V247" s="6">
        <f t="shared" si="31"/>
        <v>12</v>
      </c>
      <c r="W247" s="8" t="str">
        <f t="shared" si="32"/>
        <v>17:03</v>
      </c>
      <c r="X247" s="8" t="str">
        <f t="shared" si="33"/>
        <v>20:23</v>
      </c>
      <c r="Y247" s="9">
        <f t="shared" si="34"/>
        <v>0.13888888888888884</v>
      </c>
      <c r="Z247" s="22" t="str">
        <f t="shared" si="24"/>
        <v>2025-03-19 수 (17:03~20:23) : 3시간 20분</v>
      </c>
      <c r="AA247" s="22"/>
      <c r="AB247" s="6" t="str">
        <f ca="1">_xlfn.XLOOKUP(I247, 기초데이터!$C$2:$C$305, 기초데이터!$U$2:$U$305)</f>
        <v>cheesu@neurophet.com</v>
      </c>
    </row>
    <row r="248" spans="1:28" x14ac:dyDescent="0.3">
      <c r="A248" s="6">
        <f>SUBTOTAL(3,$I$2:I248)*1</f>
        <v>247</v>
      </c>
      <c r="B248" s="21" t="s">
        <v>25</v>
      </c>
      <c r="C248" s="6" t="s">
        <v>1049</v>
      </c>
      <c r="D248" s="6">
        <v>1</v>
      </c>
      <c r="E248" s="6" t="s">
        <v>50</v>
      </c>
      <c r="F248" s="6">
        <v>0</v>
      </c>
      <c r="G248" s="6" t="s">
        <v>399</v>
      </c>
      <c r="H248" s="6" t="s">
        <v>56</v>
      </c>
      <c r="I248" s="6" t="s">
        <v>420</v>
      </c>
      <c r="J248" s="6" t="s">
        <v>421</v>
      </c>
      <c r="K248" s="6" t="s">
        <v>33</v>
      </c>
      <c r="L248" s="6" t="s">
        <v>34</v>
      </c>
      <c r="M248" s="6" t="s">
        <v>35</v>
      </c>
      <c r="N248" s="6" t="s">
        <v>874</v>
      </c>
      <c r="O248" s="6" t="s">
        <v>1003</v>
      </c>
      <c r="P248" s="6" t="s">
        <v>1004</v>
      </c>
      <c r="T248" s="6" t="s">
        <v>424</v>
      </c>
      <c r="U248" s="7">
        <f t="shared" si="30"/>
        <v>45735</v>
      </c>
      <c r="V248" s="6">
        <f t="shared" si="31"/>
        <v>12</v>
      </c>
      <c r="W248" s="8" t="str">
        <f t="shared" si="32"/>
        <v>17:47</v>
      </c>
      <c r="X248" s="8" t="str">
        <f t="shared" si="33"/>
        <v>20:27</v>
      </c>
      <c r="Y248" s="9">
        <f t="shared" si="34"/>
        <v>0.11111111111111105</v>
      </c>
      <c r="Z248" s="22" t="str">
        <f t="shared" si="24"/>
        <v>2025-03-19 수 (17:47~20:27) : 2시간 40분</v>
      </c>
      <c r="AA248" s="22"/>
      <c r="AB248" s="6" t="str">
        <f ca="1">_xlfn.XLOOKUP(I248, 기초데이터!$C$2:$C$305, 기초데이터!$U$2:$U$305)</f>
        <v>manjae.jeon@neurophet.com</v>
      </c>
    </row>
    <row r="249" spans="1:28" x14ac:dyDescent="0.3">
      <c r="A249" s="6">
        <f>SUBTOTAL(3,$I$2:I249)*1</f>
        <v>248</v>
      </c>
      <c r="B249" s="21" t="s">
        <v>25</v>
      </c>
      <c r="C249" s="6" t="s">
        <v>1050</v>
      </c>
      <c r="D249" s="6">
        <v>1</v>
      </c>
      <c r="E249" s="6" t="s">
        <v>443</v>
      </c>
      <c r="F249" s="6">
        <v>0</v>
      </c>
      <c r="G249" s="6" t="s">
        <v>119</v>
      </c>
      <c r="H249" s="6" t="s">
        <v>30</v>
      </c>
      <c r="I249" s="6" t="s">
        <v>120</v>
      </c>
      <c r="J249" s="6" t="s">
        <v>121</v>
      </c>
      <c r="K249" s="6" t="s">
        <v>33</v>
      </c>
      <c r="L249" s="6" t="s">
        <v>34</v>
      </c>
      <c r="M249" s="6" t="s">
        <v>35</v>
      </c>
      <c r="N249" s="6" t="s">
        <v>957</v>
      </c>
      <c r="O249" s="6" t="s">
        <v>1051</v>
      </c>
      <c r="P249" s="6" t="s">
        <v>1052</v>
      </c>
      <c r="T249" s="6" t="s">
        <v>1053</v>
      </c>
      <c r="U249" s="7">
        <f t="shared" si="30"/>
        <v>45735</v>
      </c>
      <c r="V249" s="6">
        <f t="shared" si="31"/>
        <v>12</v>
      </c>
      <c r="W249" s="8" t="str">
        <f t="shared" si="32"/>
        <v>16:00</v>
      </c>
      <c r="X249" s="8" t="str">
        <f t="shared" si="33"/>
        <v>17:50</v>
      </c>
      <c r="Y249" s="9">
        <f t="shared" si="34"/>
        <v>7.6388888888888951E-2</v>
      </c>
      <c r="Z249" s="22" t="str">
        <f t="shared" si="24"/>
        <v>2025-03-19 수 (16:00~17:50) : 1시간 50분</v>
      </c>
      <c r="AA249" s="22"/>
      <c r="AB249" s="6" t="str">
        <f ca="1">_xlfn.XLOOKUP(I249, 기초데이터!$C$2:$C$305, 기초데이터!$U$2:$U$305)</f>
        <v>iypark@neurophet.com</v>
      </c>
    </row>
    <row r="250" spans="1:28" x14ac:dyDescent="0.3">
      <c r="A250" s="6">
        <f>SUBTOTAL(3,$I$2:I250)*1</f>
        <v>249</v>
      </c>
      <c r="B250" s="21" t="s">
        <v>25</v>
      </c>
      <c r="C250" s="6" t="s">
        <v>1054</v>
      </c>
      <c r="D250" s="6">
        <v>1</v>
      </c>
      <c r="E250" s="6" t="s">
        <v>128</v>
      </c>
      <c r="F250" s="6">
        <v>0</v>
      </c>
      <c r="G250" s="6" t="s">
        <v>340</v>
      </c>
      <c r="H250" s="6" t="s">
        <v>30</v>
      </c>
      <c r="I250" s="6" t="s">
        <v>839</v>
      </c>
      <c r="J250" s="6" t="s">
        <v>840</v>
      </c>
      <c r="K250" s="6" t="s">
        <v>33</v>
      </c>
      <c r="L250" s="6" t="s">
        <v>34</v>
      </c>
      <c r="M250" s="6" t="s">
        <v>35</v>
      </c>
      <c r="N250" s="6" t="s">
        <v>945</v>
      </c>
      <c r="O250" s="6" t="s">
        <v>1055</v>
      </c>
      <c r="P250" s="6" t="s">
        <v>1056</v>
      </c>
      <c r="T250" s="6" t="s">
        <v>843</v>
      </c>
      <c r="U250" s="7">
        <f t="shared" si="30"/>
        <v>45735</v>
      </c>
      <c r="V250" s="6">
        <f t="shared" si="31"/>
        <v>12</v>
      </c>
      <c r="W250" s="8" t="str">
        <f t="shared" si="32"/>
        <v>17:22</v>
      </c>
      <c r="X250" s="8" t="str">
        <f t="shared" si="33"/>
        <v>19:22</v>
      </c>
      <c r="Y250" s="9">
        <f t="shared" si="34"/>
        <v>8.333333333333337E-2</v>
      </c>
      <c r="Z250" s="22" t="str">
        <f t="shared" si="24"/>
        <v>2025-03-19 수 (17:22~19:22) : 2시간</v>
      </c>
      <c r="AA250" s="22"/>
      <c r="AB250" s="6" t="str">
        <f ca="1">_xlfn.XLOOKUP(I250, 기초데이터!$C$2:$C$305, 기초데이터!$U$2:$U$305)</f>
        <v>junhyuk@neurophet.com</v>
      </c>
    </row>
    <row r="251" spans="1:28" x14ac:dyDescent="0.3">
      <c r="A251" s="6">
        <f>SUBTOTAL(3,$I$2:I251)*1</f>
        <v>250</v>
      </c>
      <c r="B251" s="21" t="s">
        <v>25</v>
      </c>
      <c r="C251" s="6" t="s">
        <v>1057</v>
      </c>
      <c r="D251" s="6">
        <v>1</v>
      </c>
      <c r="E251" s="6" t="s">
        <v>128</v>
      </c>
      <c r="F251" s="6">
        <v>0</v>
      </c>
      <c r="G251" s="6" t="s">
        <v>850</v>
      </c>
      <c r="H251" s="6" t="s">
        <v>56</v>
      </c>
      <c r="I251" s="6" t="s">
        <v>922</v>
      </c>
      <c r="J251" s="6" t="s">
        <v>923</v>
      </c>
      <c r="K251" s="6" t="s">
        <v>33</v>
      </c>
      <c r="L251" s="6" t="s">
        <v>34</v>
      </c>
      <c r="M251" s="6" t="s">
        <v>35</v>
      </c>
      <c r="N251" s="6" t="s">
        <v>845</v>
      </c>
      <c r="O251" s="6" t="s">
        <v>1058</v>
      </c>
      <c r="P251" s="6" t="s">
        <v>1059</v>
      </c>
      <c r="T251" s="6" t="s">
        <v>1060</v>
      </c>
      <c r="U251" s="7">
        <f t="shared" si="30"/>
        <v>45734</v>
      </c>
      <c r="V251" s="6">
        <f t="shared" si="31"/>
        <v>12</v>
      </c>
      <c r="W251" s="8" t="str">
        <f t="shared" si="32"/>
        <v>18:34</v>
      </c>
      <c r="X251" s="8" t="str">
        <f t="shared" si="33"/>
        <v>20:36</v>
      </c>
      <c r="Y251" s="9">
        <f t="shared" si="34"/>
        <v>8.4722222222222143E-2</v>
      </c>
      <c r="Z251" s="22" t="str">
        <f t="shared" si="24"/>
        <v>2025-03-18 화 (18:34~20:36) : 2시간 2분</v>
      </c>
      <c r="AA251" s="22"/>
      <c r="AB251" s="6" t="str">
        <f ca="1">_xlfn.XLOOKUP(I251, 기초데이터!$C$2:$C$305, 기초데이터!$U$2:$U$305)</f>
        <v>kyeoryelee@neurophet.com</v>
      </c>
    </row>
    <row r="252" spans="1:28" x14ac:dyDescent="0.3">
      <c r="A252" s="6">
        <f>SUBTOTAL(3,$I$2:I252)*1</f>
        <v>251</v>
      </c>
      <c r="B252" s="21" t="s">
        <v>25</v>
      </c>
      <c r="C252" s="6" t="s">
        <v>1061</v>
      </c>
      <c r="D252" s="6">
        <v>1</v>
      </c>
      <c r="E252" s="6" t="s">
        <v>610</v>
      </c>
      <c r="F252" s="6">
        <v>0</v>
      </c>
      <c r="G252" s="6" t="s">
        <v>1062</v>
      </c>
      <c r="H252" s="6" t="s">
        <v>56</v>
      </c>
      <c r="I252" s="6" t="s">
        <v>1063</v>
      </c>
      <c r="J252" s="6" t="s">
        <v>1064</v>
      </c>
      <c r="K252" s="6" t="s">
        <v>33</v>
      </c>
      <c r="L252" s="6" t="s">
        <v>34</v>
      </c>
      <c r="M252" s="6" t="s">
        <v>35</v>
      </c>
      <c r="N252" s="6" t="s">
        <v>1032</v>
      </c>
      <c r="O252" s="6" t="s">
        <v>1065</v>
      </c>
      <c r="P252" s="6" t="s">
        <v>1066</v>
      </c>
      <c r="T252" s="6" t="s">
        <v>1067</v>
      </c>
      <c r="U252" s="7">
        <f t="shared" si="30"/>
        <v>45734</v>
      </c>
      <c r="V252" s="6">
        <f t="shared" si="31"/>
        <v>12</v>
      </c>
      <c r="W252" s="8" t="str">
        <f t="shared" si="32"/>
        <v>16:00</v>
      </c>
      <c r="X252" s="8" t="str">
        <f t="shared" si="33"/>
        <v>19:30</v>
      </c>
      <c r="Y252" s="9">
        <f t="shared" si="34"/>
        <v>0.14583333333333337</v>
      </c>
      <c r="Z252" s="22" t="str">
        <f t="shared" si="24"/>
        <v>2025-03-18 화 (16:00~19:30) : 3시간 30분</v>
      </c>
      <c r="AA252" s="22"/>
      <c r="AB252" s="6" t="str">
        <f ca="1">_xlfn.XLOOKUP(I252, 기초데이터!$C$2:$C$305, 기초데이터!$U$2:$U$305)</f>
        <v>jwchun@neurophet.com</v>
      </c>
    </row>
    <row r="253" spans="1:28" x14ac:dyDescent="0.3">
      <c r="A253" s="6">
        <f>SUBTOTAL(3,$I$2:I253)*1</f>
        <v>252</v>
      </c>
      <c r="B253" s="21" t="s">
        <v>25</v>
      </c>
      <c r="C253" s="6" t="s">
        <v>1068</v>
      </c>
      <c r="D253" s="6">
        <v>1</v>
      </c>
      <c r="E253" s="6" t="s">
        <v>610</v>
      </c>
      <c r="F253" s="6">
        <v>0</v>
      </c>
      <c r="G253" s="6" t="s">
        <v>399</v>
      </c>
      <c r="H253" s="6" t="s">
        <v>30</v>
      </c>
      <c r="I253" s="6" t="s">
        <v>400</v>
      </c>
      <c r="J253" s="6" t="s">
        <v>401</v>
      </c>
      <c r="K253" s="6" t="s">
        <v>33</v>
      </c>
      <c r="L253" s="6" t="s">
        <v>34</v>
      </c>
      <c r="M253" s="6" t="s">
        <v>35</v>
      </c>
      <c r="N253" s="6" t="s">
        <v>945</v>
      </c>
      <c r="O253" s="6" t="s">
        <v>1006</v>
      </c>
      <c r="P253" s="6" t="s">
        <v>1007</v>
      </c>
      <c r="T253" s="6" t="s">
        <v>1069</v>
      </c>
      <c r="U253" s="7">
        <f t="shared" si="30"/>
        <v>45734</v>
      </c>
      <c r="V253" s="6">
        <f t="shared" si="31"/>
        <v>12</v>
      </c>
      <c r="W253" s="8" t="str">
        <f t="shared" si="32"/>
        <v>16:09</v>
      </c>
      <c r="X253" s="8" t="str">
        <f t="shared" si="33"/>
        <v>19:39</v>
      </c>
      <c r="Y253" s="9">
        <f t="shared" si="34"/>
        <v>0.14583333333333326</v>
      </c>
      <c r="Z253" s="22" t="str">
        <f t="shared" si="24"/>
        <v>2025-03-18 화 (16:09~19:39) : 3시간 30분</v>
      </c>
      <c r="AA253" s="22"/>
      <c r="AB253" s="6" t="str">
        <f ca="1">_xlfn.XLOOKUP(I253, 기초데이터!$C$2:$C$305, 기초데이터!$U$2:$U$305)</f>
        <v>lsr@neurophet.com</v>
      </c>
    </row>
    <row r="254" spans="1:28" x14ac:dyDescent="0.3">
      <c r="A254" s="6">
        <f>SUBTOTAL(3,$I$2:I254)*1</f>
        <v>253</v>
      </c>
      <c r="B254" s="21" t="s">
        <v>25</v>
      </c>
      <c r="C254" s="6" t="s">
        <v>1234</v>
      </c>
      <c r="D254" s="6">
        <v>1</v>
      </c>
      <c r="E254" s="6" t="s">
        <v>93</v>
      </c>
      <c r="F254" s="6">
        <v>0</v>
      </c>
      <c r="G254" s="6" t="s">
        <v>399</v>
      </c>
      <c r="H254" s="6" t="s">
        <v>30</v>
      </c>
      <c r="I254" s="6" t="s">
        <v>897</v>
      </c>
      <c r="J254" s="6" t="s">
        <v>898</v>
      </c>
      <c r="K254" s="6" t="s">
        <v>33</v>
      </c>
      <c r="L254" s="6" t="s">
        <v>34</v>
      </c>
      <c r="M254" s="6" t="s">
        <v>35</v>
      </c>
      <c r="N254" s="6" t="s">
        <v>853</v>
      </c>
      <c r="O254" s="6" t="s">
        <v>899</v>
      </c>
      <c r="P254" s="6" t="s">
        <v>1173</v>
      </c>
      <c r="T254" s="6" t="s">
        <v>901</v>
      </c>
      <c r="U254" s="11">
        <f t="shared" si="30"/>
        <v>45721</v>
      </c>
      <c r="V254" s="12">
        <f t="shared" si="31"/>
        <v>10</v>
      </c>
      <c r="W254" s="13" t="str">
        <f t="shared" si="32"/>
        <v>18:58</v>
      </c>
      <c r="X254" s="13" t="str">
        <f t="shared" si="33"/>
        <v>22:02</v>
      </c>
      <c r="Y254" s="14">
        <f t="shared" si="34"/>
        <v>0.12777777777777777</v>
      </c>
      <c r="Z254" s="22" t="str">
        <f t="shared" si="24"/>
        <v>2025-03-05 수 (18:58~22:02) : 3시간 4분</v>
      </c>
      <c r="AA254" s="22"/>
      <c r="AB254" s="6" t="str">
        <f ca="1">_xlfn.XLOOKUP(I254, 기초데이터!$C$2:$C$305, 기초데이터!$U$2:$U$305)</f>
        <v>sy.ha@neurophet.com</v>
      </c>
    </row>
    <row r="255" spans="1:28" x14ac:dyDescent="0.3">
      <c r="A255" s="6">
        <f>SUBTOTAL(3,$I$2:I255)*1</f>
        <v>254</v>
      </c>
      <c r="B255" s="21" t="s">
        <v>25</v>
      </c>
      <c r="C255" s="6" t="s">
        <v>1071</v>
      </c>
      <c r="D255" s="6">
        <v>1</v>
      </c>
      <c r="E255" s="6" t="s">
        <v>128</v>
      </c>
      <c r="F255" s="6">
        <v>0</v>
      </c>
      <c r="G255" s="6" t="s">
        <v>850</v>
      </c>
      <c r="H255" s="6" t="s">
        <v>30</v>
      </c>
      <c r="I255" s="6" t="s">
        <v>851</v>
      </c>
      <c r="J255" s="6" t="s">
        <v>852</v>
      </c>
      <c r="K255" s="6" t="s">
        <v>33</v>
      </c>
      <c r="L255" s="6" t="s">
        <v>34</v>
      </c>
      <c r="M255" s="6" t="s">
        <v>35</v>
      </c>
      <c r="N255" s="6" t="s">
        <v>1072</v>
      </c>
      <c r="O255" s="6" t="s">
        <v>1073</v>
      </c>
      <c r="P255" s="6" t="s">
        <v>1074</v>
      </c>
      <c r="T255" s="6" t="s">
        <v>1075</v>
      </c>
      <c r="U255" s="7">
        <f t="shared" si="30"/>
        <v>45733</v>
      </c>
      <c r="V255" s="6">
        <f t="shared" si="31"/>
        <v>12</v>
      </c>
      <c r="W255" s="8" t="str">
        <f t="shared" si="32"/>
        <v>16:39</v>
      </c>
      <c r="X255" s="8" t="str">
        <f t="shared" si="33"/>
        <v>18:39</v>
      </c>
      <c r="Y255" s="9">
        <f t="shared" si="34"/>
        <v>8.333333333333337E-2</v>
      </c>
      <c r="Z255" s="22" t="str">
        <f t="shared" si="24"/>
        <v>2025-03-17 월 (16:39~18:39) : 2시간</v>
      </c>
      <c r="AA255" s="22"/>
      <c r="AB255" s="6" t="str">
        <f ca="1">_xlfn.XLOOKUP(I255, 기초데이터!$C$2:$C$305, 기초데이터!$U$2:$U$305)</f>
        <v>yeonghun@neurophet.com</v>
      </c>
    </row>
    <row r="256" spans="1:28" x14ac:dyDescent="0.3">
      <c r="A256" s="6">
        <f>SUBTOTAL(3,$I$2:I256)*1</f>
        <v>255</v>
      </c>
      <c r="B256" s="21" t="s">
        <v>25</v>
      </c>
      <c r="C256" s="6" t="s">
        <v>1076</v>
      </c>
      <c r="D256" s="6">
        <v>1</v>
      </c>
      <c r="E256" s="6" t="s">
        <v>63</v>
      </c>
      <c r="F256" s="6">
        <v>0</v>
      </c>
      <c r="G256" s="6" t="s">
        <v>399</v>
      </c>
      <c r="H256" s="6" t="s">
        <v>30</v>
      </c>
      <c r="I256" s="6" t="s">
        <v>400</v>
      </c>
      <c r="J256" s="6" t="s">
        <v>401</v>
      </c>
      <c r="K256" s="6" t="s">
        <v>33</v>
      </c>
      <c r="L256" s="6" t="s">
        <v>34</v>
      </c>
      <c r="M256" s="6" t="s">
        <v>35</v>
      </c>
      <c r="N256" s="6" t="s">
        <v>945</v>
      </c>
      <c r="O256" s="6" t="s">
        <v>1006</v>
      </c>
      <c r="P256" s="6" t="s">
        <v>1007</v>
      </c>
      <c r="T256" s="6" t="s">
        <v>1077</v>
      </c>
      <c r="U256" s="7">
        <f t="shared" si="30"/>
        <v>45733</v>
      </c>
      <c r="V256" s="6">
        <f t="shared" si="31"/>
        <v>12</v>
      </c>
      <c r="W256" s="8" t="str">
        <f t="shared" si="32"/>
        <v>16:04</v>
      </c>
      <c r="X256" s="8" t="str">
        <f t="shared" si="33"/>
        <v>19:04</v>
      </c>
      <c r="Y256" s="9">
        <f t="shared" si="34"/>
        <v>0.125</v>
      </c>
      <c r="Z256" s="22" t="str">
        <f t="shared" si="24"/>
        <v>2025-03-17 월 (16:04~19:04) : 3시간</v>
      </c>
      <c r="AA256" s="22"/>
      <c r="AB256" s="6" t="str">
        <f ca="1">_xlfn.XLOOKUP(I256, 기초데이터!$C$2:$C$305, 기초데이터!$U$2:$U$305)</f>
        <v>lsr@neurophet.com</v>
      </c>
    </row>
    <row r="257" spans="1:28" x14ac:dyDescent="0.3">
      <c r="A257" s="6">
        <f>SUBTOTAL(3,$I$2:I257)*1</f>
        <v>256</v>
      </c>
      <c r="B257" s="21" t="s">
        <v>25</v>
      </c>
      <c r="C257" s="6" t="s">
        <v>1078</v>
      </c>
      <c r="D257" s="6">
        <v>1</v>
      </c>
      <c r="E257" s="6" t="s">
        <v>128</v>
      </c>
      <c r="F257" s="6">
        <v>0</v>
      </c>
      <c r="G257" s="6" t="s">
        <v>29</v>
      </c>
      <c r="H257" s="6" t="s">
        <v>30</v>
      </c>
      <c r="I257" s="6" t="s">
        <v>31</v>
      </c>
      <c r="J257" s="6" t="s">
        <v>32</v>
      </c>
      <c r="K257" s="6" t="s">
        <v>33</v>
      </c>
      <c r="L257" s="6" t="s">
        <v>34</v>
      </c>
      <c r="M257" s="6" t="s">
        <v>35</v>
      </c>
      <c r="N257" s="6" t="s">
        <v>1072</v>
      </c>
      <c r="O257" s="6" t="s">
        <v>1079</v>
      </c>
      <c r="P257" s="6" t="s">
        <v>1080</v>
      </c>
      <c r="T257" s="6" t="s">
        <v>1081</v>
      </c>
      <c r="U257" s="7">
        <f t="shared" si="30"/>
        <v>45730</v>
      </c>
      <c r="V257" s="6">
        <f t="shared" si="31"/>
        <v>11</v>
      </c>
      <c r="W257" s="8" t="str">
        <f t="shared" si="32"/>
        <v>12:00</v>
      </c>
      <c r="X257" s="8" t="str">
        <f t="shared" si="33"/>
        <v>14:00</v>
      </c>
      <c r="Y257" s="9">
        <f t="shared" si="34"/>
        <v>8.333333333333337E-2</v>
      </c>
      <c r="Z257" s="22" t="str">
        <f t="shared" si="24"/>
        <v>2025-03-14 금 (12:00~14:00) : 2시간</v>
      </c>
      <c r="AA257" s="22"/>
      <c r="AB257" s="6" t="str">
        <f ca="1">_xlfn.XLOOKUP(I257, 기초데이터!$C$2:$C$305, 기초데이터!$U$2:$U$305)</f>
        <v>kgy@neurophet.com</v>
      </c>
    </row>
    <row r="258" spans="1:28" x14ac:dyDescent="0.3">
      <c r="A258" s="6">
        <f>SUBTOTAL(3,$I$2:I258)*1</f>
        <v>257</v>
      </c>
      <c r="B258" s="21" t="s">
        <v>25</v>
      </c>
      <c r="C258" s="6" t="s">
        <v>1082</v>
      </c>
      <c r="D258" s="6">
        <v>1</v>
      </c>
      <c r="E258" s="6" t="s">
        <v>1083</v>
      </c>
      <c r="F258" s="6">
        <v>0</v>
      </c>
      <c r="G258" s="6" t="s">
        <v>148</v>
      </c>
      <c r="H258" s="6" t="s">
        <v>30</v>
      </c>
      <c r="I258" s="6" t="s">
        <v>149</v>
      </c>
      <c r="J258" s="6" t="s">
        <v>150</v>
      </c>
      <c r="K258" s="6" t="s">
        <v>33</v>
      </c>
      <c r="L258" s="6" t="s">
        <v>34</v>
      </c>
      <c r="M258" s="6" t="s">
        <v>35</v>
      </c>
      <c r="N258" s="6" t="s">
        <v>1072</v>
      </c>
      <c r="O258" s="6" t="s">
        <v>1084</v>
      </c>
      <c r="P258" s="6" t="s">
        <v>1085</v>
      </c>
      <c r="T258" s="6" t="s">
        <v>1086</v>
      </c>
      <c r="U258" s="7">
        <f t="shared" si="30"/>
        <v>45730</v>
      </c>
      <c r="V258" s="6">
        <f t="shared" si="31"/>
        <v>11</v>
      </c>
      <c r="W258" s="8" t="str">
        <f t="shared" si="32"/>
        <v>10:30</v>
      </c>
      <c r="X258" s="8" t="str">
        <f t="shared" si="33"/>
        <v>17:30</v>
      </c>
      <c r="Y258" s="9">
        <f t="shared" si="34"/>
        <v>0.29166666666666663</v>
      </c>
      <c r="Z258" s="22" t="str">
        <f t="shared" si="24"/>
        <v>2025-03-14 금 (10:30~17:30) : 7시간</v>
      </c>
      <c r="AA258" s="22"/>
      <c r="AB258" s="6" t="str">
        <f ca="1">_xlfn.XLOOKUP(I258, 기초데이터!$C$2:$C$305, 기초데이터!$U$2:$U$305)</f>
        <v>sjsj0331@neurophet.com</v>
      </c>
    </row>
    <row r="259" spans="1:28" x14ac:dyDescent="0.3">
      <c r="A259" s="6">
        <f>SUBTOTAL(3,$I$2:I259)*1</f>
        <v>258</v>
      </c>
      <c r="B259" s="21" t="s">
        <v>25</v>
      </c>
      <c r="C259" s="6" t="s">
        <v>1087</v>
      </c>
      <c r="D259" s="6">
        <v>1</v>
      </c>
      <c r="E259" s="6" t="s">
        <v>128</v>
      </c>
      <c r="F259" s="6">
        <v>0</v>
      </c>
      <c r="G259" s="6" t="s">
        <v>850</v>
      </c>
      <c r="H259" s="6" t="s">
        <v>56</v>
      </c>
      <c r="I259" s="6" t="s">
        <v>922</v>
      </c>
      <c r="J259" s="6" t="s">
        <v>923</v>
      </c>
      <c r="K259" s="6" t="s">
        <v>33</v>
      </c>
      <c r="L259" s="6" t="s">
        <v>34</v>
      </c>
      <c r="M259" s="6" t="s">
        <v>35</v>
      </c>
      <c r="N259" s="6" t="s">
        <v>1088</v>
      </c>
      <c r="O259" s="6" t="s">
        <v>1089</v>
      </c>
      <c r="P259" s="6" t="s">
        <v>1090</v>
      </c>
      <c r="T259" s="6" t="s">
        <v>1091</v>
      </c>
      <c r="U259" s="7">
        <f t="shared" si="30"/>
        <v>45729</v>
      </c>
      <c r="V259" s="6">
        <f t="shared" si="31"/>
        <v>11</v>
      </c>
      <c r="W259" s="8" t="str">
        <f t="shared" si="32"/>
        <v>18:52</v>
      </c>
      <c r="X259" s="8" t="str">
        <f t="shared" si="33"/>
        <v>20:52</v>
      </c>
      <c r="Y259" s="9">
        <f t="shared" si="34"/>
        <v>8.333333333333337E-2</v>
      </c>
      <c r="Z259" s="22" t="str">
        <f t="shared" ref="Z259:Z322" si="35">TEXT(U259, "YYYY-MM-DD aaa")&amp;" ("&amp;TEXT(W259, "hh:mm")&amp;"~"&amp;TEXT(X259, "hh:mm")&amp;") : "&amp;IF(MINUTE(Y259)=0, TEXT(Y259, "h시간"), TEXT(Y259, "h시간 m분"))</f>
        <v>2025-03-13 목 (18:52~20:52) : 2시간</v>
      </c>
      <c r="AA259" s="22"/>
      <c r="AB259" s="6" t="str">
        <f ca="1">_xlfn.XLOOKUP(I259, 기초데이터!$C$2:$C$305, 기초데이터!$U$2:$U$305)</f>
        <v>kyeoryelee@neurophet.com</v>
      </c>
    </row>
    <row r="260" spans="1:28" x14ac:dyDescent="0.3">
      <c r="A260" s="6">
        <f>SUBTOTAL(3,$I$2:I260)*1</f>
        <v>259</v>
      </c>
      <c r="B260" s="21" t="s">
        <v>25</v>
      </c>
      <c r="C260" s="6" t="s">
        <v>1092</v>
      </c>
      <c r="D260" s="6">
        <v>1</v>
      </c>
      <c r="E260" s="6" t="s">
        <v>53</v>
      </c>
      <c r="F260" s="6">
        <v>0</v>
      </c>
      <c r="G260" s="6" t="s">
        <v>399</v>
      </c>
      <c r="H260" s="6" t="s">
        <v>30</v>
      </c>
      <c r="I260" s="6" t="s">
        <v>400</v>
      </c>
      <c r="J260" s="6" t="s">
        <v>401</v>
      </c>
      <c r="K260" s="6" t="s">
        <v>33</v>
      </c>
      <c r="L260" s="6" t="s">
        <v>34</v>
      </c>
      <c r="M260" s="6" t="s">
        <v>35</v>
      </c>
      <c r="N260" s="6" t="s">
        <v>1072</v>
      </c>
      <c r="O260" s="6" t="s">
        <v>1093</v>
      </c>
      <c r="P260" s="6" t="s">
        <v>1094</v>
      </c>
      <c r="T260" s="6" t="s">
        <v>1095</v>
      </c>
      <c r="U260" s="7">
        <f t="shared" si="30"/>
        <v>45729</v>
      </c>
      <c r="V260" s="6">
        <f t="shared" si="31"/>
        <v>11</v>
      </c>
      <c r="W260" s="8" t="str">
        <f t="shared" si="32"/>
        <v>16:09</v>
      </c>
      <c r="X260" s="8" t="str">
        <f t="shared" si="33"/>
        <v>20:09</v>
      </c>
      <c r="Y260" s="9">
        <f t="shared" si="34"/>
        <v>0.16666666666666663</v>
      </c>
      <c r="Z260" s="22" t="str">
        <f t="shared" si="35"/>
        <v>2025-03-13 목 (16:09~20:09) : 4시간</v>
      </c>
      <c r="AA260" s="22"/>
      <c r="AB260" s="6" t="str">
        <f ca="1">_xlfn.XLOOKUP(I260, 기초데이터!$C$2:$C$305, 기초데이터!$U$2:$U$305)</f>
        <v>lsr@neurophet.com</v>
      </c>
    </row>
    <row r="261" spans="1:28" x14ac:dyDescent="0.3">
      <c r="A261" s="6">
        <f>SUBTOTAL(3,$I$2:I261)*1</f>
        <v>260</v>
      </c>
      <c r="B261" s="21" t="s">
        <v>25</v>
      </c>
      <c r="C261" s="6" t="s">
        <v>1096</v>
      </c>
      <c r="D261" s="6">
        <v>1</v>
      </c>
      <c r="E261" s="6" t="s">
        <v>825</v>
      </c>
      <c r="F261" s="6">
        <v>0</v>
      </c>
      <c r="G261" s="6" t="s">
        <v>148</v>
      </c>
      <c r="H261" s="6" t="s">
        <v>30</v>
      </c>
      <c r="I261" s="6" t="s">
        <v>149</v>
      </c>
      <c r="J261" s="6" t="s">
        <v>150</v>
      </c>
      <c r="K261" s="6" t="s">
        <v>33</v>
      </c>
      <c r="L261" s="6" t="s">
        <v>34</v>
      </c>
      <c r="M261" s="6" t="s">
        <v>35</v>
      </c>
      <c r="N261" s="6" t="s">
        <v>1072</v>
      </c>
      <c r="O261" s="6" t="s">
        <v>1084</v>
      </c>
      <c r="P261" s="6" t="s">
        <v>1085</v>
      </c>
      <c r="T261" s="6" t="s">
        <v>1086</v>
      </c>
      <c r="U261" s="7">
        <f t="shared" si="30"/>
        <v>45729</v>
      </c>
      <c r="V261" s="6">
        <f t="shared" si="31"/>
        <v>11</v>
      </c>
      <c r="W261" s="8" t="str">
        <f t="shared" si="32"/>
        <v>18:30</v>
      </c>
      <c r="X261" s="8" t="str">
        <f t="shared" si="33"/>
        <v>20:00</v>
      </c>
      <c r="Y261" s="9">
        <f t="shared" si="34"/>
        <v>6.25E-2</v>
      </c>
      <c r="Z261" s="22" t="str">
        <f t="shared" si="35"/>
        <v>2025-03-13 목 (18:30~20:00) : 1시간 30분</v>
      </c>
      <c r="AA261" s="22"/>
      <c r="AB261" s="6" t="str">
        <f ca="1">_xlfn.XLOOKUP(I261, 기초데이터!$C$2:$C$305, 기초데이터!$U$2:$U$305)</f>
        <v>sjsj0331@neurophet.com</v>
      </c>
    </row>
    <row r="262" spans="1:28" x14ac:dyDescent="0.3">
      <c r="A262" s="6">
        <f>SUBTOTAL(3,$I$2:I262)*1</f>
        <v>261</v>
      </c>
      <c r="B262" s="21" t="s">
        <v>25</v>
      </c>
      <c r="C262" s="6" t="s">
        <v>1097</v>
      </c>
      <c r="D262" s="6">
        <v>1</v>
      </c>
      <c r="E262" s="6" t="s">
        <v>128</v>
      </c>
      <c r="F262" s="6">
        <v>0</v>
      </c>
      <c r="G262" s="6" t="s">
        <v>340</v>
      </c>
      <c r="H262" s="6" t="s">
        <v>30</v>
      </c>
      <c r="I262" s="6" t="s">
        <v>1023</v>
      </c>
      <c r="J262" s="6" t="s">
        <v>1024</v>
      </c>
      <c r="K262" s="6" t="s">
        <v>33</v>
      </c>
      <c r="L262" s="6" t="s">
        <v>34</v>
      </c>
      <c r="M262" s="6" t="s">
        <v>35</v>
      </c>
      <c r="N262" s="6" t="s">
        <v>1072</v>
      </c>
      <c r="O262" s="6" t="s">
        <v>1098</v>
      </c>
      <c r="P262" s="6" t="s">
        <v>1099</v>
      </c>
      <c r="T262" s="6" t="s">
        <v>1100</v>
      </c>
      <c r="U262" s="7">
        <f t="shared" si="30"/>
        <v>45729</v>
      </c>
      <c r="V262" s="6">
        <f t="shared" si="31"/>
        <v>11</v>
      </c>
      <c r="W262" s="8" t="str">
        <f t="shared" si="32"/>
        <v>18:07</v>
      </c>
      <c r="X262" s="8" t="str">
        <f t="shared" si="33"/>
        <v>20:07</v>
      </c>
      <c r="Y262" s="9">
        <f t="shared" si="34"/>
        <v>8.333333333333337E-2</v>
      </c>
      <c r="Z262" s="22" t="str">
        <f t="shared" si="35"/>
        <v>2025-03-13 목 (18:07~20:07) : 2시간</v>
      </c>
      <c r="AA262" s="22"/>
      <c r="AB262" s="6" t="str">
        <f ca="1">_xlfn.XLOOKUP(I262, 기초데이터!$C$2:$C$305, 기초데이터!$U$2:$U$305)</f>
        <v>cheesu@neurophet.com</v>
      </c>
    </row>
    <row r="263" spans="1:28" x14ac:dyDescent="0.3">
      <c r="A263" s="6">
        <f>SUBTOTAL(3,$I$2:I263)*1</f>
        <v>262</v>
      </c>
      <c r="B263" s="21" t="s">
        <v>25</v>
      </c>
      <c r="C263" s="6" t="s">
        <v>1198</v>
      </c>
      <c r="D263" s="6">
        <v>1</v>
      </c>
      <c r="E263" s="6" t="s">
        <v>183</v>
      </c>
      <c r="F263" s="6">
        <v>0</v>
      </c>
      <c r="G263" s="6" t="s">
        <v>399</v>
      </c>
      <c r="H263" s="6" t="s">
        <v>30</v>
      </c>
      <c r="I263" s="6" t="s">
        <v>897</v>
      </c>
      <c r="J263" s="6" t="s">
        <v>898</v>
      </c>
      <c r="K263" s="6" t="s">
        <v>33</v>
      </c>
      <c r="L263" s="6" t="s">
        <v>34</v>
      </c>
      <c r="M263" s="6" t="s">
        <v>35</v>
      </c>
      <c r="N263" s="6" t="s">
        <v>853</v>
      </c>
      <c r="O263" s="6" t="s">
        <v>899</v>
      </c>
      <c r="P263" s="6" t="s">
        <v>1173</v>
      </c>
      <c r="T263" s="6" t="s">
        <v>901</v>
      </c>
      <c r="U263" s="11">
        <f t="shared" si="30"/>
        <v>45722</v>
      </c>
      <c r="V263" s="12">
        <f t="shared" si="31"/>
        <v>10</v>
      </c>
      <c r="W263" s="13" t="str">
        <f t="shared" si="32"/>
        <v>18:27</v>
      </c>
      <c r="X263" s="13" t="str">
        <f t="shared" si="33"/>
        <v>22:23</v>
      </c>
      <c r="Y263" s="14">
        <f t="shared" si="34"/>
        <v>0.16388888888888886</v>
      </c>
      <c r="Z263" s="22" t="str">
        <f t="shared" si="35"/>
        <v>2025-03-06 목 (18:27~22:23) : 3시간 56분</v>
      </c>
      <c r="AA263" s="22"/>
      <c r="AB263" s="6" t="str">
        <f ca="1">_xlfn.XLOOKUP(I263, 기초데이터!$C$2:$C$305, 기초데이터!$U$2:$U$305)</f>
        <v>sy.ha@neurophet.com</v>
      </c>
    </row>
    <row r="264" spans="1:28" x14ac:dyDescent="0.3">
      <c r="A264" s="6">
        <f>SUBTOTAL(3,$I$2:I264)*1</f>
        <v>263</v>
      </c>
      <c r="B264" s="21" t="s">
        <v>25</v>
      </c>
      <c r="C264" s="6" t="s">
        <v>1103</v>
      </c>
      <c r="D264" s="6">
        <v>1</v>
      </c>
      <c r="E264" s="6" t="s">
        <v>93</v>
      </c>
      <c r="F264" s="6">
        <v>0</v>
      </c>
      <c r="G264" s="6" t="s">
        <v>399</v>
      </c>
      <c r="H264" s="6" t="s">
        <v>30</v>
      </c>
      <c r="I264" s="6" t="s">
        <v>659</v>
      </c>
      <c r="J264" s="6" t="s">
        <v>1104</v>
      </c>
      <c r="K264" s="6" t="s">
        <v>33</v>
      </c>
      <c r="L264" s="6" t="s">
        <v>34</v>
      </c>
      <c r="M264" s="6" t="s">
        <v>35</v>
      </c>
      <c r="N264" s="6" t="s">
        <v>853</v>
      </c>
      <c r="O264" s="6" t="s">
        <v>1105</v>
      </c>
      <c r="P264" s="6" t="s">
        <v>1106</v>
      </c>
      <c r="T264" s="6" t="s">
        <v>485</v>
      </c>
      <c r="U264" s="7">
        <f t="shared" si="30"/>
        <v>45729</v>
      </c>
      <c r="V264" s="6">
        <f t="shared" si="31"/>
        <v>11</v>
      </c>
      <c r="W264" s="8" t="str">
        <f t="shared" si="32"/>
        <v>17:13</v>
      </c>
      <c r="X264" s="8" t="str">
        <f t="shared" si="33"/>
        <v>20:21</v>
      </c>
      <c r="Y264" s="9">
        <f t="shared" si="34"/>
        <v>0.13055555555555554</v>
      </c>
      <c r="Z264" s="22" t="str">
        <f t="shared" si="35"/>
        <v>2025-03-13 목 (17:13~20:21) : 3시간 8분</v>
      </c>
      <c r="AA264" s="22"/>
      <c r="AB264" s="6" t="str">
        <f ca="1">_xlfn.XLOOKUP(I264, 기초데이터!$C$2:$C$305, 기초데이터!$U$2:$U$305)</f>
        <v>sikang@neurophet.com</v>
      </c>
    </row>
    <row r="265" spans="1:28" x14ac:dyDescent="0.3">
      <c r="A265" s="6">
        <f>SUBTOTAL(3,$I$2:I265)*1</f>
        <v>264</v>
      </c>
      <c r="B265" s="21" t="s">
        <v>25</v>
      </c>
      <c r="C265" s="6" t="s">
        <v>1107</v>
      </c>
      <c r="D265" s="6">
        <v>1</v>
      </c>
      <c r="E265" s="6" t="s">
        <v>128</v>
      </c>
      <c r="F265" s="6">
        <v>0</v>
      </c>
      <c r="G265" s="6" t="s">
        <v>850</v>
      </c>
      <c r="H265" s="6" t="s">
        <v>56</v>
      </c>
      <c r="I265" s="6" t="s">
        <v>922</v>
      </c>
      <c r="J265" s="6" t="s">
        <v>923</v>
      </c>
      <c r="K265" s="6" t="s">
        <v>33</v>
      </c>
      <c r="L265" s="6" t="s">
        <v>34</v>
      </c>
      <c r="M265" s="6" t="s">
        <v>35</v>
      </c>
      <c r="N265" s="6" t="s">
        <v>1108</v>
      </c>
      <c r="O265" s="6" t="s">
        <v>1109</v>
      </c>
      <c r="P265" s="6" t="s">
        <v>1110</v>
      </c>
      <c r="T265" s="6" t="s">
        <v>1111</v>
      </c>
      <c r="U265" s="7">
        <f t="shared" si="30"/>
        <v>45728</v>
      </c>
      <c r="V265" s="6">
        <f t="shared" si="31"/>
        <v>11</v>
      </c>
      <c r="W265" s="8" t="str">
        <f t="shared" si="32"/>
        <v>18:19</v>
      </c>
      <c r="X265" s="8" t="str">
        <f t="shared" si="33"/>
        <v>20:19</v>
      </c>
      <c r="Y265" s="9">
        <f t="shared" si="34"/>
        <v>8.333333333333337E-2</v>
      </c>
      <c r="Z265" s="22" t="str">
        <f t="shared" si="35"/>
        <v>2025-03-12 수 (18:19~20:19) : 2시간</v>
      </c>
      <c r="AA265" s="22"/>
      <c r="AB265" s="6" t="str">
        <f ca="1">_xlfn.XLOOKUP(I265, 기초데이터!$C$2:$C$305, 기초데이터!$U$2:$U$305)</f>
        <v>kyeoryelee@neurophet.com</v>
      </c>
    </row>
    <row r="266" spans="1:28" x14ac:dyDescent="0.3">
      <c r="A266" s="6">
        <f>SUBTOTAL(3,$I$2:I266)*1</f>
        <v>265</v>
      </c>
      <c r="B266" s="21" t="s">
        <v>25</v>
      </c>
      <c r="C266" s="6" t="s">
        <v>1112</v>
      </c>
      <c r="D266" s="6">
        <v>1</v>
      </c>
      <c r="E266" s="6" t="s">
        <v>53</v>
      </c>
      <c r="F266" s="6">
        <v>0</v>
      </c>
      <c r="G266" s="6" t="s">
        <v>399</v>
      </c>
      <c r="H266" s="6" t="s">
        <v>56</v>
      </c>
      <c r="I266" s="6" t="s">
        <v>420</v>
      </c>
      <c r="J266" s="6" t="s">
        <v>421</v>
      </c>
      <c r="K266" s="6" t="s">
        <v>33</v>
      </c>
      <c r="L266" s="6" t="s">
        <v>34</v>
      </c>
      <c r="M266" s="6" t="s">
        <v>35</v>
      </c>
      <c r="N266" s="6" t="s">
        <v>1113</v>
      </c>
      <c r="O266" s="6" t="s">
        <v>1114</v>
      </c>
      <c r="P266" s="6" t="s">
        <v>1115</v>
      </c>
      <c r="T266" s="6" t="s">
        <v>1116</v>
      </c>
      <c r="U266" s="7">
        <f t="shared" si="30"/>
        <v>45728</v>
      </c>
      <c r="V266" s="6">
        <f t="shared" si="31"/>
        <v>11</v>
      </c>
      <c r="W266" s="8" t="str">
        <f t="shared" si="32"/>
        <v>17:56</v>
      </c>
      <c r="X266" s="8" t="str">
        <f t="shared" si="33"/>
        <v>21:56</v>
      </c>
      <c r="Y266" s="9">
        <f t="shared" si="34"/>
        <v>0.16666666666666663</v>
      </c>
      <c r="Z266" s="22" t="str">
        <f t="shared" si="35"/>
        <v>2025-03-12 수 (17:56~21:56) : 4시간</v>
      </c>
      <c r="AA266" s="22"/>
      <c r="AB266" s="6" t="str">
        <f ca="1">_xlfn.XLOOKUP(I266, 기초데이터!$C$2:$C$305, 기초데이터!$U$2:$U$305)</f>
        <v>manjae.jeon@neurophet.com</v>
      </c>
    </row>
    <row r="267" spans="1:28" x14ac:dyDescent="0.3">
      <c r="A267" s="6">
        <f>SUBTOTAL(3,$I$2:I267)*1</f>
        <v>266</v>
      </c>
      <c r="B267" s="21" t="s">
        <v>25</v>
      </c>
      <c r="C267" s="6" t="s">
        <v>1117</v>
      </c>
      <c r="D267" s="6">
        <v>1</v>
      </c>
      <c r="E267" s="6" t="s">
        <v>218</v>
      </c>
      <c r="F267" s="6">
        <v>0</v>
      </c>
      <c r="G267" s="6" t="s">
        <v>131</v>
      </c>
      <c r="H267" s="6" t="s">
        <v>30</v>
      </c>
      <c r="I267" s="6" t="s">
        <v>713</v>
      </c>
      <c r="J267" s="6" t="s">
        <v>714</v>
      </c>
      <c r="K267" s="6" t="s">
        <v>33</v>
      </c>
      <c r="L267" s="6" t="s">
        <v>34</v>
      </c>
      <c r="M267" s="6" t="s">
        <v>35</v>
      </c>
      <c r="N267" s="6" t="s">
        <v>1113</v>
      </c>
      <c r="O267" s="6" t="s">
        <v>1118</v>
      </c>
      <c r="P267" s="6" t="s">
        <v>1119</v>
      </c>
      <c r="T267" s="6" t="s">
        <v>1043</v>
      </c>
      <c r="U267" s="7">
        <f t="shared" ref="U267:U298" si="36">DATEVALUE(LEFT(C267,10))</f>
        <v>45728</v>
      </c>
      <c r="V267" s="6">
        <f t="shared" ref="V267:V298" si="37">WEEKNUM(U267,21)</f>
        <v>11</v>
      </c>
      <c r="W267" s="8" t="str">
        <f t="shared" ref="W267:W298" si="38">MID(C267,12,5)</f>
        <v>16:18</v>
      </c>
      <c r="X267" s="8" t="str">
        <f t="shared" ref="X267:X298" si="39">MID(C267,32,5)</f>
        <v>18:44</v>
      </c>
      <c r="Y267" s="9">
        <f t="shared" ref="Y267:Y298" si="40">X267-W267</f>
        <v>0.10138888888888886</v>
      </c>
      <c r="Z267" s="22" t="str">
        <f t="shared" si="35"/>
        <v>2025-03-12 수 (16:18~18:44) : 2시간 26분</v>
      </c>
      <c r="AA267" s="22"/>
      <c r="AB267" s="6" t="str">
        <f ca="1">_xlfn.XLOOKUP(I267, 기초데이터!$C$2:$C$305, 기초데이터!$U$2:$U$305)</f>
        <v>jieunlee@neurophet.com</v>
      </c>
    </row>
    <row r="268" spans="1:28" x14ac:dyDescent="0.3">
      <c r="A268" s="6">
        <f>SUBTOTAL(3,$I$2:I268)*1</f>
        <v>267</v>
      </c>
      <c r="B268" s="21" t="s">
        <v>25</v>
      </c>
      <c r="C268" s="6" t="s">
        <v>1120</v>
      </c>
      <c r="D268" s="6">
        <v>1</v>
      </c>
      <c r="E268" s="6" t="s">
        <v>912</v>
      </c>
      <c r="F268" s="6">
        <v>0</v>
      </c>
      <c r="G268" s="6" t="s">
        <v>148</v>
      </c>
      <c r="H268" s="6" t="s">
        <v>30</v>
      </c>
      <c r="I268" s="6" t="s">
        <v>149</v>
      </c>
      <c r="J268" s="6" t="s">
        <v>150</v>
      </c>
      <c r="K268" s="6" t="s">
        <v>33</v>
      </c>
      <c r="L268" s="6" t="s">
        <v>34</v>
      </c>
      <c r="M268" s="6" t="s">
        <v>35</v>
      </c>
      <c r="N268" s="6" t="s">
        <v>1072</v>
      </c>
      <c r="O268" s="6" t="s">
        <v>1084</v>
      </c>
      <c r="P268" s="6" t="s">
        <v>1085</v>
      </c>
      <c r="T268" s="6" t="s">
        <v>1121</v>
      </c>
      <c r="U268" s="7">
        <f t="shared" si="36"/>
        <v>45728</v>
      </c>
      <c r="V268" s="6">
        <f t="shared" si="37"/>
        <v>11</v>
      </c>
      <c r="W268" s="8" t="str">
        <f t="shared" si="38"/>
        <v>18:30</v>
      </c>
      <c r="X268" s="8" t="str">
        <f t="shared" si="39"/>
        <v>20:12</v>
      </c>
      <c r="Y268" s="9">
        <f t="shared" si="40"/>
        <v>7.0833333333333304E-2</v>
      </c>
      <c r="Z268" s="22" t="str">
        <f t="shared" si="35"/>
        <v>2025-03-12 수 (18:30~20:12) : 1시간 42분</v>
      </c>
      <c r="AA268" s="22"/>
      <c r="AB268" s="6" t="str">
        <f ca="1">_xlfn.XLOOKUP(I268, 기초데이터!$C$2:$C$305, 기초데이터!$U$2:$U$305)</f>
        <v>sjsj0331@neurophet.com</v>
      </c>
    </row>
    <row r="269" spans="1:28" x14ac:dyDescent="0.3">
      <c r="A269" s="6">
        <f>SUBTOTAL(3,$I$2:I269)*1</f>
        <v>268</v>
      </c>
      <c r="B269" s="21" t="s">
        <v>25</v>
      </c>
      <c r="C269" s="6" t="s">
        <v>1172</v>
      </c>
      <c r="D269" s="6">
        <v>1</v>
      </c>
      <c r="E269" s="6" t="s">
        <v>218</v>
      </c>
      <c r="F269" s="6">
        <v>0</v>
      </c>
      <c r="G269" s="6" t="s">
        <v>399</v>
      </c>
      <c r="H269" s="6" t="s">
        <v>30</v>
      </c>
      <c r="I269" s="6" t="s">
        <v>897</v>
      </c>
      <c r="J269" s="6" t="s">
        <v>898</v>
      </c>
      <c r="K269" s="6" t="s">
        <v>33</v>
      </c>
      <c r="L269" s="6" t="s">
        <v>34</v>
      </c>
      <c r="M269" s="6" t="s">
        <v>35</v>
      </c>
      <c r="N269" s="6" t="s">
        <v>853</v>
      </c>
      <c r="O269" s="6" t="s">
        <v>899</v>
      </c>
      <c r="P269" s="6" t="s">
        <v>1173</v>
      </c>
      <c r="T269" s="6" t="s">
        <v>901</v>
      </c>
      <c r="U269" s="11">
        <f t="shared" si="36"/>
        <v>45723</v>
      </c>
      <c r="V269" s="12">
        <f t="shared" si="37"/>
        <v>10</v>
      </c>
      <c r="W269" s="13" t="str">
        <f t="shared" si="38"/>
        <v>18:27</v>
      </c>
      <c r="X269" s="13" t="str">
        <f t="shared" si="39"/>
        <v>20:52</v>
      </c>
      <c r="Y269" s="14">
        <f t="shared" si="40"/>
        <v>0.10069444444444442</v>
      </c>
      <c r="Z269" s="22" t="str">
        <f t="shared" si="35"/>
        <v>2025-03-07 금 (18:27~20:52) : 2시간 25분</v>
      </c>
      <c r="AA269" s="22"/>
      <c r="AB269" s="6" t="str">
        <f ca="1">_xlfn.XLOOKUP(I269, 기초데이터!$C$2:$C$305, 기초데이터!$U$2:$U$305)</f>
        <v>sy.ha@neurophet.com</v>
      </c>
    </row>
    <row r="270" spans="1:28" x14ac:dyDescent="0.3">
      <c r="A270" s="6">
        <f>SUBTOTAL(3,$I$2:I270)*1</f>
        <v>269</v>
      </c>
      <c r="B270" s="21" t="s">
        <v>25</v>
      </c>
      <c r="C270" s="6" t="s">
        <v>1123</v>
      </c>
      <c r="D270" s="6">
        <v>1</v>
      </c>
      <c r="E270" s="6" t="s">
        <v>128</v>
      </c>
      <c r="F270" s="6">
        <v>0</v>
      </c>
      <c r="G270" s="6" t="s">
        <v>399</v>
      </c>
      <c r="H270" s="6" t="s">
        <v>30</v>
      </c>
      <c r="I270" s="6" t="s">
        <v>659</v>
      </c>
      <c r="J270" s="6" t="s">
        <v>1104</v>
      </c>
      <c r="K270" s="6" t="s">
        <v>33</v>
      </c>
      <c r="L270" s="6" t="s">
        <v>34</v>
      </c>
      <c r="M270" s="6" t="s">
        <v>35</v>
      </c>
      <c r="N270" s="6" t="s">
        <v>853</v>
      </c>
      <c r="O270" s="6" t="s">
        <v>1105</v>
      </c>
      <c r="P270" s="6" t="s">
        <v>1106</v>
      </c>
      <c r="T270" s="6" t="s">
        <v>485</v>
      </c>
      <c r="U270" s="7">
        <f t="shared" si="36"/>
        <v>45728</v>
      </c>
      <c r="V270" s="6">
        <f t="shared" si="37"/>
        <v>11</v>
      </c>
      <c r="W270" s="8" t="str">
        <f t="shared" si="38"/>
        <v>17:12</v>
      </c>
      <c r="X270" s="8" t="str">
        <f t="shared" si="39"/>
        <v>19:14</v>
      </c>
      <c r="Y270" s="9">
        <f t="shared" si="40"/>
        <v>8.4722222222222254E-2</v>
      </c>
      <c r="Z270" s="22" t="str">
        <f t="shared" si="35"/>
        <v>2025-03-12 수 (17:12~19:14) : 2시간 2분</v>
      </c>
      <c r="AA270" s="22"/>
      <c r="AB270" s="6" t="str">
        <f ca="1">_xlfn.XLOOKUP(I270, 기초데이터!$C$2:$C$305, 기초데이터!$U$2:$U$305)</f>
        <v>sikang@neurophet.com</v>
      </c>
    </row>
    <row r="271" spans="1:28" x14ac:dyDescent="0.3">
      <c r="A271" s="6">
        <f>SUBTOTAL(3,$I$2:I271)*1</f>
        <v>270</v>
      </c>
      <c r="B271" s="21" t="s">
        <v>25</v>
      </c>
      <c r="C271" s="6" t="s">
        <v>1124</v>
      </c>
      <c r="D271" s="6">
        <v>1</v>
      </c>
      <c r="E271" s="6" t="s">
        <v>53</v>
      </c>
      <c r="F271" s="6">
        <v>0</v>
      </c>
      <c r="G271" s="6" t="s">
        <v>131</v>
      </c>
      <c r="H271" s="6" t="s">
        <v>56</v>
      </c>
      <c r="I271" s="6" t="s">
        <v>132</v>
      </c>
      <c r="J271" s="6" t="s">
        <v>133</v>
      </c>
      <c r="K271" s="6" t="s">
        <v>33</v>
      </c>
      <c r="L271" s="6" t="s">
        <v>34</v>
      </c>
      <c r="M271" s="6" t="s">
        <v>35</v>
      </c>
      <c r="N271" s="6" t="s">
        <v>1108</v>
      </c>
      <c r="O271" s="6" t="s">
        <v>1125</v>
      </c>
      <c r="P271" s="6" t="s">
        <v>1126</v>
      </c>
      <c r="T271" s="6" t="s">
        <v>1127</v>
      </c>
      <c r="U271" s="7">
        <f t="shared" si="36"/>
        <v>45727</v>
      </c>
      <c r="V271" s="6">
        <f t="shared" si="37"/>
        <v>11</v>
      </c>
      <c r="W271" s="8" t="str">
        <f t="shared" si="38"/>
        <v>17:30</v>
      </c>
      <c r="X271" s="8" t="str">
        <f t="shared" si="39"/>
        <v>21:30</v>
      </c>
      <c r="Y271" s="9">
        <f t="shared" si="40"/>
        <v>0.16666666666666674</v>
      </c>
      <c r="Z271" s="22" t="str">
        <f t="shared" si="35"/>
        <v>2025-03-11 화 (17:30~21:30) : 4시간</v>
      </c>
      <c r="AA271" s="22"/>
      <c r="AB271" s="6" t="str">
        <f ca="1">_xlfn.XLOOKUP(I271, 기초데이터!$C$2:$C$305, 기초데이터!$U$2:$U$305)</f>
        <v>kelly.seo@neurophet.com</v>
      </c>
    </row>
    <row r="272" spans="1:28" x14ac:dyDescent="0.3">
      <c r="A272" s="6">
        <f>SUBTOTAL(3,$I$2:I272)*1</f>
        <v>271</v>
      </c>
      <c r="B272" s="21" t="s">
        <v>25</v>
      </c>
      <c r="C272" s="6" t="s">
        <v>1128</v>
      </c>
      <c r="D272" s="6">
        <v>1</v>
      </c>
      <c r="E272" s="6" t="s">
        <v>93</v>
      </c>
      <c r="F272" s="6">
        <v>0</v>
      </c>
      <c r="G272" s="6" t="s">
        <v>399</v>
      </c>
      <c r="H272" s="6" t="s">
        <v>56</v>
      </c>
      <c r="I272" s="6" t="s">
        <v>420</v>
      </c>
      <c r="J272" s="6" t="s">
        <v>421</v>
      </c>
      <c r="K272" s="6" t="s">
        <v>33</v>
      </c>
      <c r="L272" s="6" t="s">
        <v>34</v>
      </c>
      <c r="M272" s="6" t="s">
        <v>35</v>
      </c>
      <c r="N272" s="6" t="s">
        <v>1113</v>
      </c>
      <c r="O272" s="6" t="s">
        <v>1114</v>
      </c>
      <c r="P272" s="6" t="s">
        <v>1115</v>
      </c>
      <c r="T272" s="6" t="s">
        <v>485</v>
      </c>
      <c r="U272" s="7">
        <f t="shared" si="36"/>
        <v>45727</v>
      </c>
      <c r="V272" s="6">
        <f t="shared" si="37"/>
        <v>11</v>
      </c>
      <c r="W272" s="8" t="str">
        <f t="shared" si="38"/>
        <v>18:37</v>
      </c>
      <c r="X272" s="8" t="str">
        <f t="shared" si="39"/>
        <v>21:43</v>
      </c>
      <c r="Y272" s="9">
        <f t="shared" si="40"/>
        <v>0.12916666666666665</v>
      </c>
      <c r="Z272" s="22" t="str">
        <f t="shared" si="35"/>
        <v>2025-03-11 화 (18:37~21:43) : 3시간 6분</v>
      </c>
      <c r="AA272" s="22"/>
      <c r="AB272" s="6" t="str">
        <f ca="1">_xlfn.XLOOKUP(I272, 기초데이터!$C$2:$C$305, 기초데이터!$U$2:$U$305)</f>
        <v>manjae.jeon@neurophet.com</v>
      </c>
    </row>
    <row r="273" spans="1:28" x14ac:dyDescent="0.3">
      <c r="A273" s="6">
        <f>SUBTOTAL(3,$I$2:I273)*1</f>
        <v>272</v>
      </c>
      <c r="B273" s="21" t="s">
        <v>25</v>
      </c>
      <c r="C273" s="6" t="s">
        <v>1129</v>
      </c>
      <c r="D273" s="6">
        <v>1</v>
      </c>
      <c r="E273" s="6" t="s">
        <v>63</v>
      </c>
      <c r="F273" s="6">
        <v>0</v>
      </c>
      <c r="G273" s="6" t="s">
        <v>340</v>
      </c>
      <c r="H273" s="6" t="s">
        <v>30</v>
      </c>
      <c r="I273" s="6" t="s">
        <v>1023</v>
      </c>
      <c r="J273" s="6" t="s">
        <v>1024</v>
      </c>
      <c r="K273" s="6" t="s">
        <v>33</v>
      </c>
      <c r="L273" s="6" t="s">
        <v>34</v>
      </c>
      <c r="M273" s="6" t="s">
        <v>35</v>
      </c>
      <c r="N273" s="6" t="s">
        <v>1113</v>
      </c>
      <c r="O273" s="6" t="s">
        <v>1130</v>
      </c>
      <c r="P273" s="6" t="s">
        <v>1131</v>
      </c>
      <c r="T273" s="6" t="s">
        <v>1132</v>
      </c>
      <c r="U273" s="7">
        <f t="shared" si="36"/>
        <v>45727</v>
      </c>
      <c r="V273" s="6">
        <f t="shared" si="37"/>
        <v>11</v>
      </c>
      <c r="W273" s="8" t="str">
        <f t="shared" si="38"/>
        <v>17:03</v>
      </c>
      <c r="X273" s="8" t="str">
        <f t="shared" si="39"/>
        <v>20:03</v>
      </c>
      <c r="Y273" s="9">
        <f t="shared" si="40"/>
        <v>0.125</v>
      </c>
      <c r="Z273" s="22" t="str">
        <f t="shared" si="35"/>
        <v>2025-03-11 화 (17:03~20:03) : 3시간</v>
      </c>
      <c r="AA273" s="22"/>
      <c r="AB273" s="6" t="str">
        <f ca="1">_xlfn.XLOOKUP(I273, 기초데이터!$C$2:$C$305, 기초데이터!$U$2:$U$305)</f>
        <v>cheesu@neurophet.com</v>
      </c>
    </row>
    <row r="274" spans="1:28" x14ac:dyDescent="0.3">
      <c r="A274" s="6">
        <f>SUBTOTAL(3,$I$2:I274)*1</f>
        <v>273</v>
      </c>
      <c r="B274" s="21" t="s">
        <v>25</v>
      </c>
      <c r="C274" s="6" t="s">
        <v>1133</v>
      </c>
      <c r="D274" s="6">
        <v>1</v>
      </c>
      <c r="E274" s="6" t="s">
        <v>53</v>
      </c>
      <c r="F274" s="6">
        <v>0</v>
      </c>
      <c r="G274" s="6" t="s">
        <v>399</v>
      </c>
      <c r="H274" s="6" t="s">
        <v>30</v>
      </c>
      <c r="I274" s="6" t="s">
        <v>400</v>
      </c>
      <c r="J274" s="6" t="s">
        <v>401</v>
      </c>
      <c r="K274" s="6" t="s">
        <v>33</v>
      </c>
      <c r="L274" s="6" t="s">
        <v>34</v>
      </c>
      <c r="M274" s="6" t="s">
        <v>35</v>
      </c>
      <c r="N274" s="6" t="s">
        <v>1072</v>
      </c>
      <c r="O274" s="6" t="s">
        <v>1093</v>
      </c>
      <c r="P274" s="6" t="s">
        <v>1094</v>
      </c>
      <c r="T274" s="6" t="s">
        <v>1134</v>
      </c>
      <c r="U274" s="7">
        <f t="shared" si="36"/>
        <v>45727</v>
      </c>
      <c r="V274" s="6">
        <f t="shared" si="37"/>
        <v>11</v>
      </c>
      <c r="W274" s="8" t="str">
        <f t="shared" si="38"/>
        <v>16:09</v>
      </c>
      <c r="X274" s="8" t="str">
        <f t="shared" si="39"/>
        <v>20:09</v>
      </c>
      <c r="Y274" s="9">
        <f t="shared" si="40"/>
        <v>0.16666666666666663</v>
      </c>
      <c r="Z274" s="22" t="str">
        <f t="shared" si="35"/>
        <v>2025-03-11 화 (16:09~20:09) : 4시간</v>
      </c>
      <c r="AA274" s="22"/>
      <c r="AB274" s="6" t="str">
        <f ca="1">_xlfn.XLOOKUP(I274, 기초데이터!$C$2:$C$305, 기초데이터!$U$2:$U$305)</f>
        <v>lsr@neurophet.com</v>
      </c>
    </row>
    <row r="275" spans="1:28" x14ac:dyDescent="0.3">
      <c r="A275" s="6">
        <f>SUBTOTAL(3,$I$2:I275)*1</f>
        <v>274</v>
      </c>
      <c r="B275" s="21" t="s">
        <v>25</v>
      </c>
      <c r="C275" s="6" t="s">
        <v>1135</v>
      </c>
      <c r="D275" s="6">
        <v>1</v>
      </c>
      <c r="E275" s="6" t="s">
        <v>469</v>
      </c>
      <c r="F275" s="6">
        <v>0</v>
      </c>
      <c r="G275" s="6" t="s">
        <v>148</v>
      </c>
      <c r="H275" s="6" t="s">
        <v>30</v>
      </c>
      <c r="I275" s="6" t="s">
        <v>149</v>
      </c>
      <c r="J275" s="6" t="s">
        <v>150</v>
      </c>
      <c r="K275" s="6" t="s">
        <v>33</v>
      </c>
      <c r="L275" s="6" t="s">
        <v>34</v>
      </c>
      <c r="M275" s="6" t="s">
        <v>35</v>
      </c>
      <c r="N275" s="6" t="s">
        <v>1072</v>
      </c>
      <c r="O275" s="6" t="s">
        <v>1084</v>
      </c>
      <c r="P275" s="6" t="s">
        <v>1085</v>
      </c>
      <c r="T275" s="6" t="s">
        <v>1121</v>
      </c>
      <c r="U275" s="7">
        <f t="shared" si="36"/>
        <v>45727</v>
      </c>
      <c r="V275" s="6">
        <f t="shared" si="37"/>
        <v>11</v>
      </c>
      <c r="W275" s="8" t="str">
        <f t="shared" si="38"/>
        <v>18:55</v>
      </c>
      <c r="X275" s="8" t="str">
        <f t="shared" si="39"/>
        <v>20:00</v>
      </c>
      <c r="Y275" s="9">
        <f t="shared" si="40"/>
        <v>4.5138888888888951E-2</v>
      </c>
      <c r="Z275" s="22" t="str">
        <f t="shared" si="35"/>
        <v>2025-03-11 화 (18:55~20:00) : 1시간 5분</v>
      </c>
      <c r="AA275" s="22"/>
      <c r="AB275" s="6" t="str">
        <f ca="1">_xlfn.XLOOKUP(I275, 기초데이터!$C$2:$C$305, 기초데이터!$U$2:$U$305)</f>
        <v>sjsj0331@neurophet.com</v>
      </c>
    </row>
    <row r="276" spans="1:28" x14ac:dyDescent="0.3">
      <c r="A276" s="6">
        <f>SUBTOTAL(3,$I$2:I276)*1</f>
        <v>275</v>
      </c>
      <c r="B276" s="21" t="s">
        <v>25</v>
      </c>
      <c r="C276" s="6" t="s">
        <v>1153</v>
      </c>
      <c r="D276" s="6">
        <v>1</v>
      </c>
      <c r="E276" s="6" t="s">
        <v>93</v>
      </c>
      <c r="F276" s="6">
        <v>0</v>
      </c>
      <c r="G276" s="6" t="s">
        <v>399</v>
      </c>
      <c r="H276" s="6" t="s">
        <v>30</v>
      </c>
      <c r="I276" s="6" t="s">
        <v>897</v>
      </c>
      <c r="J276" s="6" t="s">
        <v>898</v>
      </c>
      <c r="K276" s="6" t="s">
        <v>33</v>
      </c>
      <c r="L276" s="6" t="s">
        <v>34</v>
      </c>
      <c r="M276" s="6" t="s">
        <v>35</v>
      </c>
      <c r="N276" s="6" t="s">
        <v>853</v>
      </c>
      <c r="O276" s="6" t="s">
        <v>899</v>
      </c>
      <c r="P276" s="6" t="s">
        <v>1102</v>
      </c>
      <c r="T276" s="6" t="s">
        <v>901</v>
      </c>
      <c r="U276" s="11">
        <f t="shared" si="36"/>
        <v>45726</v>
      </c>
      <c r="V276" s="12">
        <f t="shared" si="37"/>
        <v>11</v>
      </c>
      <c r="W276" s="13" t="str">
        <f t="shared" si="38"/>
        <v>19:04</v>
      </c>
      <c r="X276" s="13" t="str">
        <f t="shared" si="39"/>
        <v>22:09</v>
      </c>
      <c r="Y276" s="14">
        <f t="shared" si="40"/>
        <v>0.12847222222222232</v>
      </c>
      <c r="Z276" s="22" t="str">
        <f t="shared" si="35"/>
        <v>2025-03-10 월 (19:04~22:09) : 3시간 5분</v>
      </c>
      <c r="AA276" s="22"/>
      <c r="AB276" s="6" t="str">
        <f ca="1">_xlfn.XLOOKUP(I276, 기초데이터!$C$2:$C$305, 기초데이터!$U$2:$U$305)</f>
        <v>sy.ha@neurophet.com</v>
      </c>
    </row>
    <row r="277" spans="1:28" x14ac:dyDescent="0.3">
      <c r="A277" s="6">
        <f>SUBTOTAL(3,$I$2:I277)*1</f>
        <v>276</v>
      </c>
      <c r="B277" s="21" t="s">
        <v>25</v>
      </c>
      <c r="C277" s="6" t="s">
        <v>1137</v>
      </c>
      <c r="D277" s="6">
        <v>1</v>
      </c>
      <c r="E277" s="6" t="s">
        <v>50</v>
      </c>
      <c r="F277" s="6">
        <v>0</v>
      </c>
      <c r="G277" s="6" t="s">
        <v>399</v>
      </c>
      <c r="H277" s="6" t="s">
        <v>30</v>
      </c>
      <c r="I277" s="6" t="s">
        <v>659</v>
      </c>
      <c r="J277" s="6" t="s">
        <v>1104</v>
      </c>
      <c r="K277" s="6" t="s">
        <v>33</v>
      </c>
      <c r="L277" s="6" t="s">
        <v>34</v>
      </c>
      <c r="M277" s="6" t="s">
        <v>35</v>
      </c>
      <c r="N277" s="6" t="s">
        <v>853</v>
      </c>
      <c r="O277" s="6" t="s">
        <v>1105</v>
      </c>
      <c r="P277" s="6" t="s">
        <v>1106</v>
      </c>
      <c r="T277" s="6" t="s">
        <v>485</v>
      </c>
      <c r="U277" s="7">
        <f t="shared" si="36"/>
        <v>45727</v>
      </c>
      <c r="V277" s="6">
        <f t="shared" si="37"/>
        <v>11</v>
      </c>
      <c r="W277" s="8" t="str">
        <f t="shared" si="38"/>
        <v>17:14</v>
      </c>
      <c r="X277" s="8" t="str">
        <f t="shared" si="39"/>
        <v>19:54</v>
      </c>
      <c r="Y277" s="9">
        <f t="shared" si="40"/>
        <v>0.11111111111111116</v>
      </c>
      <c r="Z277" s="22" t="str">
        <f t="shared" si="35"/>
        <v>2025-03-11 화 (17:14~19:54) : 2시간 40분</v>
      </c>
      <c r="AA277" s="22"/>
      <c r="AB277" s="6" t="str">
        <f ca="1">_xlfn.XLOOKUP(I277, 기초데이터!$C$2:$C$305, 기초데이터!$U$2:$U$305)</f>
        <v>sikang@neurophet.com</v>
      </c>
    </row>
    <row r="278" spans="1:28" x14ac:dyDescent="0.3">
      <c r="A278" s="6">
        <f>SUBTOTAL(3,$I$2:I278)*1</f>
        <v>277</v>
      </c>
      <c r="B278" s="21" t="s">
        <v>25</v>
      </c>
      <c r="C278" s="6" t="s">
        <v>1138</v>
      </c>
      <c r="D278" s="6">
        <v>1</v>
      </c>
      <c r="E278" s="6" t="s">
        <v>53</v>
      </c>
      <c r="F278" s="6">
        <v>0</v>
      </c>
      <c r="G278" s="6" t="s">
        <v>340</v>
      </c>
      <c r="H278" s="6" t="s">
        <v>30</v>
      </c>
      <c r="I278" s="6" t="s">
        <v>839</v>
      </c>
      <c r="J278" s="6" t="s">
        <v>840</v>
      </c>
      <c r="K278" s="6" t="s">
        <v>33</v>
      </c>
      <c r="L278" s="6" t="s">
        <v>34</v>
      </c>
      <c r="M278" s="6" t="s">
        <v>35</v>
      </c>
      <c r="N278" s="6" t="s">
        <v>1113</v>
      </c>
      <c r="O278" s="6" t="s">
        <v>1139</v>
      </c>
      <c r="P278" s="6" t="s">
        <v>1140</v>
      </c>
      <c r="T278" s="6" t="s">
        <v>843</v>
      </c>
      <c r="U278" s="7">
        <f t="shared" si="36"/>
        <v>45726</v>
      </c>
      <c r="V278" s="6">
        <f t="shared" si="37"/>
        <v>11</v>
      </c>
      <c r="W278" s="8" t="str">
        <f t="shared" si="38"/>
        <v>18:25</v>
      </c>
      <c r="X278" s="8" t="str">
        <f t="shared" si="39"/>
        <v>22:25</v>
      </c>
      <c r="Y278" s="9">
        <f t="shared" si="40"/>
        <v>0.16666666666666663</v>
      </c>
      <c r="Z278" s="22" t="str">
        <f t="shared" si="35"/>
        <v>2025-03-10 월 (18:25~22:25) : 4시간</v>
      </c>
      <c r="AA278" s="22"/>
      <c r="AB278" s="6" t="str">
        <f ca="1">_xlfn.XLOOKUP(I278, 기초데이터!$C$2:$C$305, 기초데이터!$U$2:$U$305)</f>
        <v>junhyuk@neurophet.com</v>
      </c>
    </row>
    <row r="279" spans="1:28" x14ac:dyDescent="0.3">
      <c r="A279" s="6">
        <f>SUBTOTAL(3,$I$2:I279)*1</f>
        <v>278</v>
      </c>
      <c r="B279" s="21" t="s">
        <v>25</v>
      </c>
      <c r="C279" s="6" t="s">
        <v>1141</v>
      </c>
      <c r="D279" s="6">
        <v>1</v>
      </c>
      <c r="E279" s="6" t="s">
        <v>128</v>
      </c>
      <c r="F279" s="6">
        <v>0</v>
      </c>
      <c r="G279" s="6" t="s">
        <v>850</v>
      </c>
      <c r="H279" s="6" t="s">
        <v>30</v>
      </c>
      <c r="I279" s="6" t="s">
        <v>851</v>
      </c>
      <c r="J279" s="6" t="s">
        <v>852</v>
      </c>
      <c r="K279" s="6" t="s">
        <v>33</v>
      </c>
      <c r="L279" s="6" t="s">
        <v>34</v>
      </c>
      <c r="M279" s="6" t="s">
        <v>35</v>
      </c>
      <c r="N279" s="6" t="s">
        <v>1108</v>
      </c>
      <c r="O279" s="6" t="s">
        <v>1142</v>
      </c>
      <c r="P279" s="6" t="s">
        <v>1143</v>
      </c>
      <c r="T279" s="6" t="s">
        <v>1144</v>
      </c>
      <c r="U279" s="7">
        <f t="shared" si="36"/>
        <v>45726</v>
      </c>
      <c r="V279" s="6">
        <f t="shared" si="37"/>
        <v>11</v>
      </c>
      <c r="W279" s="8" t="str">
        <f t="shared" si="38"/>
        <v>16:42</v>
      </c>
      <c r="X279" s="8" t="str">
        <f t="shared" si="39"/>
        <v>18:42</v>
      </c>
      <c r="Y279" s="9">
        <f t="shared" si="40"/>
        <v>8.333333333333337E-2</v>
      </c>
      <c r="Z279" s="22" t="str">
        <f t="shared" si="35"/>
        <v>2025-03-10 월 (16:42~18:42) : 2시간</v>
      </c>
      <c r="AA279" s="22"/>
      <c r="AB279" s="6" t="str">
        <f ca="1">_xlfn.XLOOKUP(I279, 기초데이터!$C$2:$C$305, 기초데이터!$U$2:$U$305)</f>
        <v>yeonghun@neurophet.com</v>
      </c>
    </row>
    <row r="280" spans="1:28" x14ac:dyDescent="0.3">
      <c r="A280" s="6">
        <f>SUBTOTAL(3,$I$2:I280)*1</f>
        <v>279</v>
      </c>
      <c r="B280" s="21" t="s">
        <v>25</v>
      </c>
      <c r="C280" s="6" t="s">
        <v>1145</v>
      </c>
      <c r="D280" s="6">
        <v>1</v>
      </c>
      <c r="E280" s="6" t="s">
        <v>628</v>
      </c>
      <c r="F280" s="6">
        <v>0</v>
      </c>
      <c r="G280" s="6" t="s">
        <v>399</v>
      </c>
      <c r="H280" s="6" t="s">
        <v>56</v>
      </c>
      <c r="I280" s="6" t="s">
        <v>420</v>
      </c>
      <c r="J280" s="6" t="s">
        <v>421</v>
      </c>
      <c r="K280" s="6" t="s">
        <v>33</v>
      </c>
      <c r="L280" s="6" t="s">
        <v>34</v>
      </c>
      <c r="M280" s="6" t="s">
        <v>35</v>
      </c>
      <c r="N280" s="6" t="s">
        <v>1113</v>
      </c>
      <c r="O280" s="6" t="s">
        <v>1114</v>
      </c>
      <c r="P280" s="6" t="s">
        <v>1115</v>
      </c>
      <c r="T280" s="6" t="s">
        <v>485</v>
      </c>
      <c r="U280" s="7">
        <f t="shared" si="36"/>
        <v>45726</v>
      </c>
      <c r="V280" s="6">
        <f t="shared" si="37"/>
        <v>11</v>
      </c>
      <c r="W280" s="8" t="str">
        <f t="shared" si="38"/>
        <v>18:23</v>
      </c>
      <c r="X280" s="8" t="str">
        <f t="shared" si="39"/>
        <v>21:46</v>
      </c>
      <c r="Y280" s="9">
        <f t="shared" si="40"/>
        <v>0.14097222222222217</v>
      </c>
      <c r="Z280" s="22" t="str">
        <f t="shared" si="35"/>
        <v>2025-03-10 월 (18:23~21:46) : 3시간 23분</v>
      </c>
      <c r="AA280" s="22"/>
      <c r="AB280" s="6" t="str">
        <f ca="1">_xlfn.XLOOKUP(I280, 기초데이터!$C$2:$C$305, 기초데이터!$U$2:$U$305)</f>
        <v>manjae.jeon@neurophet.com</v>
      </c>
    </row>
    <row r="281" spans="1:28" x14ac:dyDescent="0.3">
      <c r="A281" s="6">
        <f>SUBTOTAL(3,$I$2:I281)*1</f>
        <v>280</v>
      </c>
      <c r="B281" s="21" t="s">
        <v>25</v>
      </c>
      <c r="C281" s="6" t="s">
        <v>1146</v>
      </c>
      <c r="D281" s="6">
        <v>1</v>
      </c>
      <c r="E281" s="6" t="s">
        <v>53</v>
      </c>
      <c r="F281" s="6">
        <v>0</v>
      </c>
      <c r="G281" s="6" t="s">
        <v>399</v>
      </c>
      <c r="H281" s="6" t="s">
        <v>30</v>
      </c>
      <c r="I281" s="6" t="s">
        <v>400</v>
      </c>
      <c r="J281" s="6" t="s">
        <v>401</v>
      </c>
      <c r="K281" s="6" t="s">
        <v>33</v>
      </c>
      <c r="L281" s="6" t="s">
        <v>34</v>
      </c>
      <c r="M281" s="6" t="s">
        <v>35</v>
      </c>
      <c r="N281" s="6" t="s">
        <v>1072</v>
      </c>
      <c r="O281" s="6" t="s">
        <v>1093</v>
      </c>
      <c r="P281" s="6" t="s">
        <v>1094</v>
      </c>
      <c r="T281" s="6" t="s">
        <v>1147</v>
      </c>
      <c r="U281" s="7">
        <f t="shared" si="36"/>
        <v>45726</v>
      </c>
      <c r="V281" s="6">
        <f t="shared" si="37"/>
        <v>11</v>
      </c>
      <c r="W281" s="8" t="str">
        <f t="shared" si="38"/>
        <v>16:11</v>
      </c>
      <c r="X281" s="8" t="str">
        <f t="shared" si="39"/>
        <v>20:11</v>
      </c>
      <c r="Y281" s="9">
        <f t="shared" si="40"/>
        <v>0.16666666666666663</v>
      </c>
      <c r="Z281" s="22" t="str">
        <f t="shared" si="35"/>
        <v>2025-03-10 월 (16:11~20:11) : 4시간</v>
      </c>
      <c r="AA281" s="22"/>
      <c r="AB281" s="6" t="str">
        <f ca="1">_xlfn.XLOOKUP(I281, 기초데이터!$C$2:$C$305, 기초데이터!$U$2:$U$305)</f>
        <v>lsr@neurophet.com</v>
      </c>
    </row>
    <row r="282" spans="1:28" x14ac:dyDescent="0.3">
      <c r="A282" s="6">
        <f>SUBTOTAL(3,$I$2:I282)*1</f>
        <v>281</v>
      </c>
      <c r="B282" s="21" t="s">
        <v>25</v>
      </c>
      <c r="C282" s="6" t="s">
        <v>1148</v>
      </c>
      <c r="D282" s="6">
        <v>1</v>
      </c>
      <c r="E282" s="6" t="s">
        <v>237</v>
      </c>
      <c r="F282" s="6">
        <v>0</v>
      </c>
      <c r="G282" s="6" t="s">
        <v>148</v>
      </c>
      <c r="H282" s="6" t="s">
        <v>30</v>
      </c>
      <c r="I282" s="6" t="s">
        <v>149</v>
      </c>
      <c r="J282" s="6" t="s">
        <v>150</v>
      </c>
      <c r="K282" s="6" t="s">
        <v>33</v>
      </c>
      <c r="L282" s="6" t="s">
        <v>34</v>
      </c>
      <c r="M282" s="6" t="s">
        <v>35</v>
      </c>
      <c r="N282" s="6" t="s">
        <v>1072</v>
      </c>
      <c r="O282" s="6" t="s">
        <v>1084</v>
      </c>
      <c r="P282" s="6" t="s">
        <v>1085</v>
      </c>
      <c r="T282" s="6" t="s">
        <v>1121</v>
      </c>
      <c r="U282" s="7">
        <f t="shared" si="36"/>
        <v>45726</v>
      </c>
      <c r="V282" s="6">
        <f t="shared" si="37"/>
        <v>11</v>
      </c>
      <c r="W282" s="8" t="str">
        <f t="shared" si="38"/>
        <v>18:30</v>
      </c>
      <c r="X282" s="8" t="str">
        <f t="shared" si="39"/>
        <v>20:42</v>
      </c>
      <c r="Y282" s="9">
        <f t="shared" si="40"/>
        <v>9.1666666666666674E-2</v>
      </c>
      <c r="Z282" s="22" t="str">
        <f t="shared" si="35"/>
        <v>2025-03-10 월 (18:30~20:42) : 2시간 12분</v>
      </c>
      <c r="AA282" s="22"/>
      <c r="AB282" s="6" t="str">
        <f ca="1">_xlfn.XLOOKUP(I282, 기초데이터!$C$2:$C$305, 기초데이터!$U$2:$U$305)</f>
        <v>sjsj0331@neurophet.com</v>
      </c>
    </row>
    <row r="283" spans="1:28" x14ac:dyDescent="0.3">
      <c r="A283" s="6">
        <f>SUBTOTAL(3,$I$2:I283)*1</f>
        <v>282</v>
      </c>
      <c r="B283" s="21" t="s">
        <v>25</v>
      </c>
      <c r="C283" s="6" t="s">
        <v>1149</v>
      </c>
      <c r="D283" s="6">
        <v>1</v>
      </c>
      <c r="E283" s="6" t="s">
        <v>50</v>
      </c>
      <c r="F283" s="6">
        <v>0</v>
      </c>
      <c r="G283" s="6" t="s">
        <v>167</v>
      </c>
      <c r="H283" s="6" t="s">
        <v>56</v>
      </c>
      <c r="I283" s="6" t="s">
        <v>184</v>
      </c>
      <c r="J283" s="6" t="s">
        <v>185</v>
      </c>
      <c r="K283" s="6" t="s">
        <v>33</v>
      </c>
      <c r="L283" s="6" t="s">
        <v>34</v>
      </c>
      <c r="M283" s="6" t="s">
        <v>35</v>
      </c>
      <c r="N283" s="6" t="s">
        <v>957</v>
      </c>
      <c r="O283" s="6" t="s">
        <v>1150</v>
      </c>
      <c r="P283" s="6" t="s">
        <v>1151</v>
      </c>
      <c r="T283" s="6" t="s">
        <v>1152</v>
      </c>
      <c r="U283" s="7">
        <f t="shared" si="36"/>
        <v>45726</v>
      </c>
      <c r="V283" s="6">
        <f t="shared" si="37"/>
        <v>11</v>
      </c>
      <c r="W283" s="8" t="str">
        <f t="shared" si="38"/>
        <v>17:03</v>
      </c>
      <c r="X283" s="8" t="str">
        <f t="shared" si="39"/>
        <v>19:46</v>
      </c>
      <c r="Y283" s="9">
        <f t="shared" si="40"/>
        <v>0.11319444444444438</v>
      </c>
      <c r="Z283" s="22" t="str">
        <f t="shared" si="35"/>
        <v>2025-03-10 월 (17:03~19:46) : 2시간 43분</v>
      </c>
      <c r="AA283" s="22"/>
      <c r="AB283" s="6" t="str">
        <f ca="1">_xlfn.XLOOKUP(I283, 기초데이터!$C$2:$C$305, 기초데이터!$U$2:$U$305)</f>
        <v>dbsong@neurophet.com</v>
      </c>
    </row>
    <row r="284" spans="1:28" x14ac:dyDescent="0.3">
      <c r="A284" s="6">
        <f>SUBTOTAL(3,$I$2:I284)*1</f>
        <v>283</v>
      </c>
      <c r="B284" s="21" t="s">
        <v>25</v>
      </c>
      <c r="C284" s="6" t="s">
        <v>1136</v>
      </c>
      <c r="D284" s="6">
        <v>1</v>
      </c>
      <c r="E284" s="6" t="s">
        <v>592</v>
      </c>
      <c r="F284" s="6">
        <v>0</v>
      </c>
      <c r="G284" s="6" t="s">
        <v>399</v>
      </c>
      <c r="H284" s="6" t="s">
        <v>30</v>
      </c>
      <c r="I284" s="6" t="s">
        <v>897</v>
      </c>
      <c r="J284" s="6" t="s">
        <v>898</v>
      </c>
      <c r="K284" s="6" t="s">
        <v>33</v>
      </c>
      <c r="L284" s="6" t="s">
        <v>34</v>
      </c>
      <c r="M284" s="6" t="s">
        <v>35</v>
      </c>
      <c r="N284" s="6" t="s">
        <v>853</v>
      </c>
      <c r="O284" s="6" t="s">
        <v>899</v>
      </c>
      <c r="P284" s="6" t="s">
        <v>1102</v>
      </c>
      <c r="T284" s="6" t="s">
        <v>901</v>
      </c>
      <c r="U284" s="11">
        <f t="shared" si="36"/>
        <v>45727</v>
      </c>
      <c r="V284" s="12">
        <f t="shared" si="37"/>
        <v>11</v>
      </c>
      <c r="W284" s="13" t="str">
        <f t="shared" si="38"/>
        <v>19:05</v>
      </c>
      <c r="X284" s="13" t="str">
        <f t="shared" si="39"/>
        <v>22:52</v>
      </c>
      <c r="Y284" s="14">
        <f t="shared" si="40"/>
        <v>0.15763888888888888</v>
      </c>
      <c r="Z284" s="22" t="str">
        <f t="shared" si="35"/>
        <v>2025-03-11 화 (19:05~22:52) : 3시간 47분</v>
      </c>
      <c r="AA284" s="22"/>
      <c r="AB284" s="6" t="str">
        <f ca="1">_xlfn.XLOOKUP(I284, 기초데이터!$C$2:$C$305, 기초데이터!$U$2:$U$305)</f>
        <v>sy.ha@neurophet.com</v>
      </c>
    </row>
    <row r="285" spans="1:28" x14ac:dyDescent="0.3">
      <c r="A285" s="6">
        <f>SUBTOTAL(3,$I$2:I285)*1</f>
        <v>284</v>
      </c>
      <c r="B285" s="21" t="s">
        <v>25</v>
      </c>
      <c r="C285" s="6" t="s">
        <v>1154</v>
      </c>
      <c r="D285" s="6">
        <v>1</v>
      </c>
      <c r="E285" s="6" t="s">
        <v>374</v>
      </c>
      <c r="F285" s="6">
        <v>0</v>
      </c>
      <c r="G285" s="6" t="s">
        <v>399</v>
      </c>
      <c r="H285" s="6" t="s">
        <v>30</v>
      </c>
      <c r="I285" s="6" t="s">
        <v>659</v>
      </c>
      <c r="J285" s="6" t="s">
        <v>1104</v>
      </c>
      <c r="K285" s="6" t="s">
        <v>33</v>
      </c>
      <c r="L285" s="6" t="s">
        <v>34</v>
      </c>
      <c r="M285" s="6" t="s">
        <v>35</v>
      </c>
      <c r="N285" s="6" t="s">
        <v>853</v>
      </c>
      <c r="O285" s="6" t="s">
        <v>1105</v>
      </c>
      <c r="P285" s="6" t="s">
        <v>1106</v>
      </c>
      <c r="T285" s="6" t="s">
        <v>485</v>
      </c>
      <c r="U285" s="7">
        <f t="shared" si="36"/>
        <v>45726</v>
      </c>
      <c r="V285" s="6">
        <f t="shared" si="37"/>
        <v>11</v>
      </c>
      <c r="W285" s="8" t="str">
        <f t="shared" si="38"/>
        <v>17:20</v>
      </c>
      <c r="X285" s="8" t="str">
        <f t="shared" si="39"/>
        <v>21:00</v>
      </c>
      <c r="Y285" s="9">
        <f t="shared" si="40"/>
        <v>0.15277777777777779</v>
      </c>
      <c r="Z285" s="22" t="str">
        <f t="shared" si="35"/>
        <v>2025-03-10 월 (17:20~21:00) : 3시간 40분</v>
      </c>
      <c r="AA285" s="22"/>
      <c r="AB285" s="6" t="str">
        <f ca="1">_xlfn.XLOOKUP(I285, 기초데이터!$C$2:$C$305, 기초데이터!$U$2:$U$305)</f>
        <v>sikang@neurophet.com</v>
      </c>
    </row>
    <row r="286" spans="1:28" x14ac:dyDescent="0.3">
      <c r="A286" s="6">
        <f>SUBTOTAL(3,$I$2:I286)*1</f>
        <v>285</v>
      </c>
      <c r="B286" s="21" t="s">
        <v>25</v>
      </c>
      <c r="C286" s="6" t="s">
        <v>1155</v>
      </c>
      <c r="D286" s="6">
        <v>1</v>
      </c>
      <c r="E286" s="6" t="s">
        <v>615</v>
      </c>
      <c r="F286" s="6">
        <v>0</v>
      </c>
      <c r="G286" s="6" t="s">
        <v>399</v>
      </c>
      <c r="H286" s="6" t="s">
        <v>30</v>
      </c>
      <c r="I286" s="6" t="s">
        <v>400</v>
      </c>
      <c r="J286" s="6" t="s">
        <v>401</v>
      </c>
      <c r="K286" s="6" t="s">
        <v>33</v>
      </c>
      <c r="L286" s="6" t="s">
        <v>34</v>
      </c>
      <c r="M286" s="6" t="s">
        <v>35</v>
      </c>
      <c r="N286" s="6" t="s">
        <v>1108</v>
      </c>
      <c r="O286" s="6" t="s">
        <v>1156</v>
      </c>
      <c r="P286" s="6" t="s">
        <v>1157</v>
      </c>
      <c r="T286" s="6" t="s">
        <v>1158</v>
      </c>
      <c r="U286" s="7">
        <f t="shared" si="36"/>
        <v>45725</v>
      </c>
      <c r="V286" s="6">
        <f t="shared" si="37"/>
        <v>10</v>
      </c>
      <c r="W286" s="8" t="str">
        <f t="shared" si="38"/>
        <v>07:20</v>
      </c>
      <c r="X286" s="8" t="str">
        <f t="shared" si="39"/>
        <v>13:20</v>
      </c>
      <c r="Y286" s="9">
        <f t="shared" si="40"/>
        <v>0.25</v>
      </c>
      <c r="Z286" s="22" t="str">
        <f t="shared" si="35"/>
        <v>2025-03-09 일 (07:20~13:20) : 6시간</v>
      </c>
      <c r="AA286" s="22"/>
      <c r="AB286" s="6" t="str">
        <f ca="1">_xlfn.XLOOKUP(I286, 기초데이터!$C$2:$C$305, 기초데이터!$U$2:$U$305)</f>
        <v>lsr@neurophet.com</v>
      </c>
    </row>
    <row r="287" spans="1:28" x14ac:dyDescent="0.3">
      <c r="A287" s="6">
        <f>SUBTOTAL(3,$I$2:I287)*1</f>
        <v>286</v>
      </c>
      <c r="B287" s="21" t="s">
        <v>25</v>
      </c>
      <c r="C287" s="6" t="s">
        <v>1159</v>
      </c>
      <c r="D287" s="6">
        <v>1</v>
      </c>
      <c r="E287" s="6" t="s">
        <v>303</v>
      </c>
      <c r="F287" s="6">
        <v>0</v>
      </c>
      <c r="G287" s="6" t="s">
        <v>399</v>
      </c>
      <c r="H287" s="6" t="s">
        <v>56</v>
      </c>
      <c r="I287" s="6" t="s">
        <v>420</v>
      </c>
      <c r="J287" s="6" t="s">
        <v>421</v>
      </c>
      <c r="K287" s="6" t="s">
        <v>33</v>
      </c>
      <c r="L287" s="6" t="s">
        <v>34</v>
      </c>
      <c r="M287" s="6" t="s">
        <v>35</v>
      </c>
      <c r="N287" s="6" t="s">
        <v>1113</v>
      </c>
      <c r="O287" s="6" t="s">
        <v>1114</v>
      </c>
      <c r="P287" s="6" t="s">
        <v>1115</v>
      </c>
      <c r="T287" s="6" t="s">
        <v>485</v>
      </c>
      <c r="U287" s="7">
        <f t="shared" si="36"/>
        <v>45724</v>
      </c>
      <c r="V287" s="6">
        <f t="shared" si="37"/>
        <v>10</v>
      </c>
      <c r="W287" s="8" t="str">
        <f t="shared" si="38"/>
        <v>10:07</v>
      </c>
      <c r="X287" s="8" t="str">
        <f t="shared" si="39"/>
        <v>12:11</v>
      </c>
      <c r="Y287" s="9">
        <f t="shared" si="40"/>
        <v>8.6111111111111083E-2</v>
      </c>
      <c r="Z287" s="22" t="str">
        <f t="shared" si="35"/>
        <v>2025-03-08 토 (10:07~12:11) : 2시간 4분</v>
      </c>
      <c r="AA287" s="22"/>
      <c r="AB287" s="6" t="str">
        <f ca="1">_xlfn.XLOOKUP(I287, 기초데이터!$C$2:$C$305, 기초데이터!$U$2:$U$305)</f>
        <v>manjae.jeon@neurophet.com</v>
      </c>
    </row>
    <row r="288" spans="1:28" x14ac:dyDescent="0.3">
      <c r="A288" s="6">
        <f>SUBTOTAL(3,$I$2:I288)*1</f>
        <v>287</v>
      </c>
      <c r="B288" s="21" t="s">
        <v>25</v>
      </c>
      <c r="C288" s="6" t="s">
        <v>1160</v>
      </c>
      <c r="D288" s="6">
        <v>1</v>
      </c>
      <c r="E288" s="6" t="s">
        <v>128</v>
      </c>
      <c r="F288" s="6">
        <v>0</v>
      </c>
      <c r="G288" s="6" t="s">
        <v>850</v>
      </c>
      <c r="H288" s="6" t="s">
        <v>30</v>
      </c>
      <c r="I288" s="6" t="s">
        <v>851</v>
      </c>
      <c r="J288" s="6" t="s">
        <v>852</v>
      </c>
      <c r="K288" s="6" t="s">
        <v>33</v>
      </c>
      <c r="L288" s="6" t="s">
        <v>34</v>
      </c>
      <c r="M288" s="6" t="s">
        <v>35</v>
      </c>
      <c r="N288" s="6" t="s">
        <v>1161</v>
      </c>
      <c r="O288" s="6" t="s">
        <v>1162</v>
      </c>
      <c r="P288" s="6" t="s">
        <v>1163</v>
      </c>
      <c r="T288" s="6" t="s">
        <v>1164</v>
      </c>
      <c r="U288" s="7">
        <f t="shared" si="36"/>
        <v>45723</v>
      </c>
      <c r="V288" s="6">
        <f t="shared" si="37"/>
        <v>10</v>
      </c>
      <c r="W288" s="8" t="str">
        <f t="shared" si="38"/>
        <v>16:36</v>
      </c>
      <c r="X288" s="8" t="str">
        <f t="shared" si="39"/>
        <v>18:36</v>
      </c>
      <c r="Y288" s="9">
        <f t="shared" si="40"/>
        <v>8.333333333333337E-2</v>
      </c>
      <c r="Z288" s="22" t="str">
        <f t="shared" si="35"/>
        <v>2025-03-07 금 (16:36~18:36) : 2시간</v>
      </c>
      <c r="AA288" s="22"/>
      <c r="AB288" s="6" t="str">
        <f ca="1">_xlfn.XLOOKUP(I288, 기초데이터!$C$2:$C$305, 기초데이터!$U$2:$U$305)</f>
        <v>yeonghun@neurophet.com</v>
      </c>
    </row>
    <row r="289" spans="1:28" x14ac:dyDescent="0.3">
      <c r="A289" s="6">
        <f>SUBTOTAL(3,$I$2:I289)*1</f>
        <v>288</v>
      </c>
      <c r="B289" s="21" t="s">
        <v>25</v>
      </c>
      <c r="C289" s="6" t="s">
        <v>1165</v>
      </c>
      <c r="D289" s="6">
        <v>1</v>
      </c>
      <c r="E289" s="6" t="s">
        <v>55</v>
      </c>
      <c r="F289" s="6">
        <v>0</v>
      </c>
      <c r="G289" s="6" t="s">
        <v>1062</v>
      </c>
      <c r="H289" s="6" t="s">
        <v>56</v>
      </c>
      <c r="I289" s="6" t="s">
        <v>1063</v>
      </c>
      <c r="J289" s="6" t="s">
        <v>1064</v>
      </c>
      <c r="K289" s="6" t="s">
        <v>33</v>
      </c>
      <c r="L289" s="6" t="s">
        <v>34</v>
      </c>
      <c r="M289" s="6" t="s">
        <v>35</v>
      </c>
      <c r="N289" s="6" t="s">
        <v>1161</v>
      </c>
      <c r="O289" s="6" t="s">
        <v>1166</v>
      </c>
      <c r="P289" s="6" t="s">
        <v>1167</v>
      </c>
      <c r="T289" s="6" t="s">
        <v>1168</v>
      </c>
      <c r="U289" s="7">
        <f t="shared" si="36"/>
        <v>45723</v>
      </c>
      <c r="V289" s="6">
        <f t="shared" si="37"/>
        <v>10</v>
      </c>
      <c r="W289" s="8" t="str">
        <f t="shared" si="38"/>
        <v>16:10</v>
      </c>
      <c r="X289" s="8" t="str">
        <f t="shared" si="39"/>
        <v>18:40</v>
      </c>
      <c r="Y289" s="9">
        <f t="shared" si="40"/>
        <v>0.10416666666666663</v>
      </c>
      <c r="Z289" s="22" t="str">
        <f t="shared" si="35"/>
        <v>2025-03-07 금 (16:10~18:40) : 2시간 30분</v>
      </c>
      <c r="AA289" s="22"/>
      <c r="AB289" s="6" t="str">
        <f ca="1">_xlfn.XLOOKUP(I289, 기초데이터!$C$2:$C$305, 기초데이터!$U$2:$U$305)</f>
        <v>jwchun@neurophet.com</v>
      </c>
    </row>
    <row r="290" spans="1:28" x14ac:dyDescent="0.3">
      <c r="A290" s="6">
        <f>SUBTOTAL(3,$I$2:I290)*1</f>
        <v>289</v>
      </c>
      <c r="B290" s="21" t="s">
        <v>25</v>
      </c>
      <c r="C290" s="6" t="s">
        <v>1169</v>
      </c>
      <c r="D290" s="6">
        <v>1</v>
      </c>
      <c r="E290" s="6" t="s">
        <v>237</v>
      </c>
      <c r="F290" s="6">
        <v>0</v>
      </c>
      <c r="G290" s="6" t="s">
        <v>399</v>
      </c>
      <c r="H290" s="6" t="s">
        <v>56</v>
      </c>
      <c r="I290" s="6" t="s">
        <v>420</v>
      </c>
      <c r="J290" s="6" t="s">
        <v>421</v>
      </c>
      <c r="K290" s="6" t="s">
        <v>33</v>
      </c>
      <c r="L290" s="6" t="s">
        <v>34</v>
      </c>
      <c r="M290" s="6" t="s">
        <v>35</v>
      </c>
      <c r="N290" s="6" t="s">
        <v>1113</v>
      </c>
      <c r="O290" s="6" t="s">
        <v>1114</v>
      </c>
      <c r="P290" s="6" t="s">
        <v>1115</v>
      </c>
      <c r="T290" s="6" t="s">
        <v>485</v>
      </c>
      <c r="U290" s="7">
        <f t="shared" si="36"/>
        <v>45723</v>
      </c>
      <c r="V290" s="6">
        <f t="shared" si="37"/>
        <v>10</v>
      </c>
      <c r="W290" s="8" t="str">
        <f t="shared" si="38"/>
        <v>18:29</v>
      </c>
      <c r="X290" s="8" t="str">
        <f t="shared" si="39"/>
        <v>20:42</v>
      </c>
      <c r="Y290" s="9">
        <f t="shared" si="40"/>
        <v>9.2361111111111116E-2</v>
      </c>
      <c r="Z290" s="22" t="str">
        <f t="shared" si="35"/>
        <v>2025-03-07 금 (18:29~20:42) : 2시간 13분</v>
      </c>
      <c r="AA290" s="22"/>
      <c r="AB290" s="6" t="str">
        <f ca="1">_xlfn.XLOOKUP(I290, 기초데이터!$C$2:$C$305, 기초데이터!$U$2:$U$305)</f>
        <v>manjae.jeon@neurophet.com</v>
      </c>
    </row>
    <row r="291" spans="1:28" x14ac:dyDescent="0.3">
      <c r="A291" s="6">
        <f>SUBTOTAL(3,$I$2:I291)*1</f>
        <v>290</v>
      </c>
      <c r="B291" s="21" t="s">
        <v>25</v>
      </c>
      <c r="C291" s="6" t="s">
        <v>1170</v>
      </c>
      <c r="D291" s="6">
        <v>1</v>
      </c>
      <c r="E291" s="6" t="s">
        <v>41</v>
      </c>
      <c r="F291" s="6">
        <v>0</v>
      </c>
      <c r="G291" s="6" t="s">
        <v>139</v>
      </c>
      <c r="H291" s="6" t="s">
        <v>30</v>
      </c>
      <c r="I291" s="6" t="s">
        <v>547</v>
      </c>
      <c r="J291" s="6" t="s">
        <v>548</v>
      </c>
      <c r="K291" s="6" t="s">
        <v>33</v>
      </c>
      <c r="L291" s="6" t="s">
        <v>34</v>
      </c>
      <c r="M291" s="6" t="s">
        <v>35</v>
      </c>
      <c r="N291" s="6" t="s">
        <v>845</v>
      </c>
      <c r="O291" s="6" t="s">
        <v>846</v>
      </c>
      <c r="P291" s="6" t="s">
        <v>847</v>
      </c>
      <c r="T291" s="6" t="s">
        <v>1171</v>
      </c>
      <c r="U291" s="7">
        <f t="shared" si="36"/>
        <v>45723</v>
      </c>
      <c r="V291" s="6">
        <f t="shared" si="37"/>
        <v>10</v>
      </c>
      <c r="W291" s="8" t="str">
        <f t="shared" si="38"/>
        <v>18:34</v>
      </c>
      <c r="X291" s="8" t="str">
        <f t="shared" si="39"/>
        <v>20:51</v>
      </c>
      <c r="Y291" s="9">
        <f t="shared" si="40"/>
        <v>9.5138888888888884E-2</v>
      </c>
      <c r="Z291" s="22" t="str">
        <f t="shared" si="35"/>
        <v>2025-03-07 금 (18:34~20:51) : 2시간 17분</v>
      </c>
      <c r="AA291" s="22"/>
      <c r="AB291" s="6" t="str">
        <f ca="1">_xlfn.XLOOKUP(I291, 기초데이터!$C$2:$C$305, 기초데이터!$U$2:$U$305)</f>
        <v>sgkang@neurophet.com</v>
      </c>
    </row>
    <row r="292" spans="1:28" x14ac:dyDescent="0.3">
      <c r="A292" s="6">
        <f>SUBTOTAL(3,$I$2:I292)*1</f>
        <v>291</v>
      </c>
      <c r="B292" s="21" t="s">
        <v>25</v>
      </c>
      <c r="C292" s="6" t="s">
        <v>1122</v>
      </c>
      <c r="D292" s="6">
        <v>1</v>
      </c>
      <c r="E292" s="6" t="s">
        <v>218</v>
      </c>
      <c r="F292" s="6">
        <v>0</v>
      </c>
      <c r="G292" s="6" t="s">
        <v>399</v>
      </c>
      <c r="H292" s="6" t="s">
        <v>30</v>
      </c>
      <c r="I292" s="6" t="s">
        <v>897</v>
      </c>
      <c r="J292" s="6" t="s">
        <v>898</v>
      </c>
      <c r="K292" s="6" t="s">
        <v>33</v>
      </c>
      <c r="L292" s="6" t="s">
        <v>34</v>
      </c>
      <c r="M292" s="6" t="s">
        <v>35</v>
      </c>
      <c r="N292" s="6" t="s">
        <v>853</v>
      </c>
      <c r="O292" s="6" t="s">
        <v>899</v>
      </c>
      <c r="P292" s="6" t="s">
        <v>1102</v>
      </c>
      <c r="T292" s="6" t="s">
        <v>901</v>
      </c>
      <c r="U292" s="11">
        <f t="shared" si="36"/>
        <v>45728</v>
      </c>
      <c r="V292" s="12">
        <f t="shared" si="37"/>
        <v>11</v>
      </c>
      <c r="W292" s="13" t="str">
        <f t="shared" si="38"/>
        <v>19:00</v>
      </c>
      <c r="X292" s="13" t="str">
        <f t="shared" si="39"/>
        <v>21:26</v>
      </c>
      <c r="Y292" s="14">
        <f t="shared" si="40"/>
        <v>0.10138888888888897</v>
      </c>
      <c r="Z292" s="22" t="str">
        <f t="shared" si="35"/>
        <v>2025-03-12 수 (19:00~21:26) : 2시간 26분</v>
      </c>
      <c r="AA292" s="22"/>
      <c r="AB292" s="6" t="str">
        <f ca="1">_xlfn.XLOOKUP(I292, 기초데이터!$C$2:$C$305, 기초데이터!$U$2:$U$305)</f>
        <v>sy.ha@neurophet.com</v>
      </c>
    </row>
    <row r="293" spans="1:28" x14ac:dyDescent="0.3">
      <c r="A293" s="6">
        <f>SUBTOTAL(3,$I$2:I293)*1</f>
        <v>292</v>
      </c>
      <c r="B293" s="21" t="s">
        <v>25</v>
      </c>
      <c r="C293" s="6" t="s">
        <v>1174</v>
      </c>
      <c r="D293" s="6">
        <v>1</v>
      </c>
      <c r="E293" s="6" t="s">
        <v>128</v>
      </c>
      <c r="F293" s="6">
        <v>0</v>
      </c>
      <c r="G293" s="6" t="s">
        <v>850</v>
      </c>
      <c r="H293" s="6" t="s">
        <v>56</v>
      </c>
      <c r="I293" s="6" t="s">
        <v>922</v>
      </c>
      <c r="J293" s="6" t="s">
        <v>923</v>
      </c>
      <c r="K293" s="6" t="s">
        <v>33</v>
      </c>
      <c r="L293" s="6" t="s">
        <v>34</v>
      </c>
      <c r="M293" s="6" t="s">
        <v>35</v>
      </c>
      <c r="N293" s="6" t="s">
        <v>649</v>
      </c>
      <c r="O293" s="6" t="s">
        <v>1175</v>
      </c>
      <c r="P293" s="6" t="s">
        <v>1176</v>
      </c>
      <c r="T293" s="6" t="s">
        <v>1177</v>
      </c>
      <c r="U293" s="7">
        <f t="shared" si="36"/>
        <v>45722</v>
      </c>
      <c r="V293" s="6">
        <f t="shared" si="37"/>
        <v>10</v>
      </c>
      <c r="W293" s="8" t="str">
        <f t="shared" si="38"/>
        <v>18:35</v>
      </c>
      <c r="X293" s="8" t="str">
        <f t="shared" si="39"/>
        <v>20:35</v>
      </c>
      <c r="Y293" s="9">
        <f t="shared" si="40"/>
        <v>8.3333333333333259E-2</v>
      </c>
      <c r="Z293" s="22" t="str">
        <f t="shared" si="35"/>
        <v>2025-03-06 목 (18:35~20:35) : 2시간</v>
      </c>
      <c r="AA293" s="22"/>
      <c r="AB293" s="6" t="str">
        <f ca="1">_xlfn.XLOOKUP(I293, 기초데이터!$C$2:$C$305, 기초데이터!$U$2:$U$305)</f>
        <v>kyeoryelee@neurophet.com</v>
      </c>
    </row>
    <row r="294" spans="1:28" x14ac:dyDescent="0.3">
      <c r="A294" s="6">
        <f>SUBTOTAL(3,$I$2:I294)*1</f>
        <v>293</v>
      </c>
      <c r="B294" s="21" t="s">
        <v>25</v>
      </c>
      <c r="C294" s="6" t="s">
        <v>1178</v>
      </c>
      <c r="D294" s="6">
        <v>1</v>
      </c>
      <c r="E294" s="6" t="s">
        <v>128</v>
      </c>
      <c r="F294" s="6">
        <v>0</v>
      </c>
      <c r="G294" s="6" t="s">
        <v>326</v>
      </c>
      <c r="H294" s="6" t="s">
        <v>56</v>
      </c>
      <c r="I294" s="6" t="s">
        <v>327</v>
      </c>
      <c r="J294" s="6" t="s">
        <v>328</v>
      </c>
      <c r="K294" s="6" t="s">
        <v>33</v>
      </c>
      <c r="L294" s="6" t="s">
        <v>34</v>
      </c>
      <c r="M294" s="6" t="s">
        <v>35</v>
      </c>
      <c r="N294" s="6" t="s">
        <v>649</v>
      </c>
      <c r="O294" s="6" t="s">
        <v>1179</v>
      </c>
      <c r="P294" s="6" t="s">
        <v>1180</v>
      </c>
      <c r="T294" s="6" t="s">
        <v>1181</v>
      </c>
      <c r="U294" s="7">
        <f t="shared" si="36"/>
        <v>45722</v>
      </c>
      <c r="V294" s="6">
        <f t="shared" si="37"/>
        <v>10</v>
      </c>
      <c r="W294" s="8" t="str">
        <f t="shared" si="38"/>
        <v>16:09</v>
      </c>
      <c r="X294" s="8" t="str">
        <f t="shared" si="39"/>
        <v>18:10</v>
      </c>
      <c r="Y294" s="9">
        <f t="shared" si="40"/>
        <v>8.4027777777777701E-2</v>
      </c>
      <c r="Z294" s="22" t="str">
        <f t="shared" si="35"/>
        <v>2025-03-06 목 (16:09~18:10) : 2시간 1분</v>
      </c>
      <c r="AA294" s="22"/>
      <c r="AB294" s="6" t="str">
        <f ca="1">_xlfn.XLOOKUP(I294, 기초데이터!$C$2:$C$305, 기초데이터!$U$2:$U$305)</f>
        <v>kahee@neurophet.com</v>
      </c>
    </row>
    <row r="295" spans="1:28" x14ac:dyDescent="0.3">
      <c r="A295" s="6">
        <f>SUBTOTAL(3,$I$2:I295)*1</f>
        <v>294</v>
      </c>
      <c r="B295" s="21" t="s">
        <v>25</v>
      </c>
      <c r="C295" s="6" t="s">
        <v>1182</v>
      </c>
      <c r="D295" s="6">
        <v>1</v>
      </c>
      <c r="E295" s="6" t="s">
        <v>77</v>
      </c>
      <c r="F295" s="6">
        <v>0</v>
      </c>
      <c r="G295" s="6" t="s">
        <v>290</v>
      </c>
      <c r="H295" s="6" t="s">
        <v>30</v>
      </c>
      <c r="I295" s="6" t="s">
        <v>291</v>
      </c>
      <c r="J295" s="6" t="s">
        <v>292</v>
      </c>
      <c r="K295" s="6" t="s">
        <v>33</v>
      </c>
      <c r="L295" s="6" t="s">
        <v>34</v>
      </c>
      <c r="M295" s="6" t="s">
        <v>35</v>
      </c>
      <c r="N295" s="6" t="s">
        <v>649</v>
      </c>
      <c r="O295" s="6" t="s">
        <v>1183</v>
      </c>
      <c r="P295" s="6" t="s">
        <v>1184</v>
      </c>
      <c r="T295" s="6" t="s">
        <v>1185</v>
      </c>
      <c r="U295" s="7">
        <f t="shared" si="36"/>
        <v>45722</v>
      </c>
      <c r="V295" s="6">
        <f t="shared" si="37"/>
        <v>10</v>
      </c>
      <c r="W295" s="8" t="str">
        <f t="shared" si="38"/>
        <v>17:39</v>
      </c>
      <c r="X295" s="8" t="str">
        <f t="shared" si="39"/>
        <v>22:38</v>
      </c>
      <c r="Y295" s="9">
        <f t="shared" si="40"/>
        <v>0.20763888888888882</v>
      </c>
      <c r="Z295" s="22" t="str">
        <f t="shared" si="35"/>
        <v>2025-03-06 목 (17:39~22:38) : 4시간 59분</v>
      </c>
      <c r="AA295" s="22"/>
      <c r="AB295" s="6" t="str">
        <f ca="1">_xlfn.XLOOKUP(I295, 기초데이터!$C$2:$C$305, 기초데이터!$U$2:$U$305)</f>
        <v>sdkim@neurophet.com</v>
      </c>
    </row>
    <row r="296" spans="1:28" x14ac:dyDescent="0.3">
      <c r="A296" s="6">
        <f>SUBTOTAL(3,$I$2:I296)*1</f>
        <v>295</v>
      </c>
      <c r="B296" s="21" t="s">
        <v>25</v>
      </c>
      <c r="C296" s="6" t="s">
        <v>1186</v>
      </c>
      <c r="D296" s="6">
        <v>1</v>
      </c>
      <c r="E296" s="6" t="s">
        <v>53</v>
      </c>
      <c r="F296" s="6">
        <v>0</v>
      </c>
      <c r="G296" s="6" t="s">
        <v>340</v>
      </c>
      <c r="H296" s="6" t="s">
        <v>30</v>
      </c>
      <c r="I296" s="6" t="s">
        <v>839</v>
      </c>
      <c r="J296" s="6" t="s">
        <v>840</v>
      </c>
      <c r="K296" s="6" t="s">
        <v>33</v>
      </c>
      <c r="L296" s="6" t="s">
        <v>34</v>
      </c>
      <c r="M296" s="6" t="s">
        <v>35</v>
      </c>
      <c r="N296" s="6" t="s">
        <v>1161</v>
      </c>
      <c r="O296" s="6" t="s">
        <v>1187</v>
      </c>
      <c r="P296" s="6" t="s">
        <v>1188</v>
      </c>
      <c r="T296" s="6" t="s">
        <v>843</v>
      </c>
      <c r="U296" s="7">
        <f t="shared" si="36"/>
        <v>45722</v>
      </c>
      <c r="V296" s="6">
        <f t="shared" si="37"/>
        <v>10</v>
      </c>
      <c r="W296" s="8" t="str">
        <f t="shared" si="38"/>
        <v>18:27</v>
      </c>
      <c r="X296" s="8" t="str">
        <f t="shared" si="39"/>
        <v>22:27</v>
      </c>
      <c r="Y296" s="9">
        <f t="shared" si="40"/>
        <v>0.16666666666666663</v>
      </c>
      <c r="Z296" s="22" t="str">
        <f t="shared" si="35"/>
        <v>2025-03-06 목 (18:27~22:27) : 4시간</v>
      </c>
      <c r="AA296" s="22"/>
      <c r="AB296" s="6" t="str">
        <f ca="1">_xlfn.XLOOKUP(I296, 기초데이터!$C$2:$C$305, 기초데이터!$U$2:$U$305)</f>
        <v>junhyuk@neurophet.com</v>
      </c>
    </row>
    <row r="297" spans="1:28" x14ac:dyDescent="0.3">
      <c r="A297" s="6">
        <f>SUBTOTAL(3,$I$2:I297)*1</f>
        <v>296</v>
      </c>
      <c r="B297" s="21" t="s">
        <v>25</v>
      </c>
      <c r="C297" s="6" t="s">
        <v>1189</v>
      </c>
      <c r="D297" s="6">
        <v>1</v>
      </c>
      <c r="E297" s="6" t="s">
        <v>183</v>
      </c>
      <c r="F297" s="6">
        <v>0</v>
      </c>
      <c r="G297" s="6" t="s">
        <v>399</v>
      </c>
      <c r="H297" s="6" t="s">
        <v>56</v>
      </c>
      <c r="I297" s="6" t="s">
        <v>420</v>
      </c>
      <c r="J297" s="6" t="s">
        <v>421</v>
      </c>
      <c r="K297" s="6" t="s">
        <v>33</v>
      </c>
      <c r="L297" s="6" t="s">
        <v>34</v>
      </c>
      <c r="M297" s="6" t="s">
        <v>35</v>
      </c>
      <c r="N297" s="6" t="s">
        <v>1113</v>
      </c>
      <c r="O297" s="6" t="s">
        <v>1114</v>
      </c>
      <c r="P297" s="6" t="s">
        <v>1115</v>
      </c>
      <c r="T297" s="6" t="s">
        <v>485</v>
      </c>
      <c r="U297" s="7">
        <f t="shared" si="36"/>
        <v>45722</v>
      </c>
      <c r="V297" s="6">
        <f t="shared" si="37"/>
        <v>10</v>
      </c>
      <c r="W297" s="8" t="str">
        <f t="shared" si="38"/>
        <v>18:29</v>
      </c>
      <c r="X297" s="8" t="str">
        <f t="shared" si="39"/>
        <v>22:23</v>
      </c>
      <c r="Y297" s="9">
        <f t="shared" si="40"/>
        <v>0.16249999999999998</v>
      </c>
      <c r="Z297" s="22" t="str">
        <f t="shared" si="35"/>
        <v>2025-03-06 목 (18:29~22:23) : 3시간 54분</v>
      </c>
      <c r="AA297" s="22"/>
      <c r="AB297" s="6" t="str">
        <f ca="1">_xlfn.XLOOKUP(I297, 기초데이터!$C$2:$C$305, 기초데이터!$U$2:$U$305)</f>
        <v>manjae.jeon@neurophet.com</v>
      </c>
    </row>
    <row r="298" spans="1:28" x14ac:dyDescent="0.3">
      <c r="A298" s="6">
        <f>SUBTOTAL(3,$I$2:I298)*1</f>
        <v>297</v>
      </c>
      <c r="B298" s="21" t="s">
        <v>25</v>
      </c>
      <c r="C298" s="6" t="s">
        <v>1190</v>
      </c>
      <c r="D298" s="6">
        <v>1</v>
      </c>
      <c r="E298" s="6" t="s">
        <v>53</v>
      </c>
      <c r="F298" s="6">
        <v>0</v>
      </c>
      <c r="G298" s="6" t="s">
        <v>399</v>
      </c>
      <c r="H298" s="6" t="s">
        <v>30</v>
      </c>
      <c r="I298" s="6" t="s">
        <v>659</v>
      </c>
      <c r="J298" s="6" t="s">
        <v>1104</v>
      </c>
      <c r="K298" s="6" t="s">
        <v>33</v>
      </c>
      <c r="L298" s="6" t="s">
        <v>34</v>
      </c>
      <c r="M298" s="6" t="s">
        <v>35</v>
      </c>
      <c r="N298" s="6" t="s">
        <v>1108</v>
      </c>
      <c r="O298" s="6" t="s">
        <v>1191</v>
      </c>
      <c r="P298" s="6" t="s">
        <v>1192</v>
      </c>
      <c r="T298" s="6" t="s">
        <v>485</v>
      </c>
      <c r="U298" s="7">
        <f t="shared" si="36"/>
        <v>45722</v>
      </c>
      <c r="V298" s="6">
        <f t="shared" si="37"/>
        <v>10</v>
      </c>
      <c r="W298" s="8" t="str">
        <f t="shared" si="38"/>
        <v>17:00</v>
      </c>
      <c r="X298" s="8" t="str">
        <f t="shared" si="39"/>
        <v>21:00</v>
      </c>
      <c r="Y298" s="9">
        <f t="shared" si="40"/>
        <v>0.16666666666666663</v>
      </c>
      <c r="Z298" s="22" t="str">
        <f t="shared" si="35"/>
        <v>2025-03-06 목 (17:00~21:00) : 4시간</v>
      </c>
      <c r="AA298" s="22"/>
      <c r="AB298" s="6" t="str">
        <f ca="1">_xlfn.XLOOKUP(I298, 기초데이터!$C$2:$C$305, 기초데이터!$U$2:$U$305)</f>
        <v>sikang@neurophet.com</v>
      </c>
    </row>
    <row r="299" spans="1:28" x14ac:dyDescent="0.3">
      <c r="A299" s="6">
        <f>SUBTOTAL(3,$I$2:I299)*1</f>
        <v>298</v>
      </c>
      <c r="B299" s="21" t="s">
        <v>25</v>
      </c>
      <c r="C299" s="6" t="s">
        <v>1193</v>
      </c>
      <c r="D299" s="6">
        <v>1</v>
      </c>
      <c r="E299" s="6" t="s">
        <v>55</v>
      </c>
      <c r="F299" s="6">
        <v>0</v>
      </c>
      <c r="G299" s="6" t="s">
        <v>139</v>
      </c>
      <c r="H299" s="6" t="s">
        <v>30</v>
      </c>
      <c r="I299" s="6" t="s">
        <v>528</v>
      </c>
      <c r="J299" s="6" t="s">
        <v>529</v>
      </c>
      <c r="K299" s="6" t="s">
        <v>33</v>
      </c>
      <c r="L299" s="6" t="s">
        <v>34</v>
      </c>
      <c r="M299" s="6" t="s">
        <v>35</v>
      </c>
      <c r="N299" s="6" t="s">
        <v>1108</v>
      </c>
      <c r="O299" s="6" t="s">
        <v>1194</v>
      </c>
      <c r="P299" s="6" t="s">
        <v>1195</v>
      </c>
      <c r="T299" s="6" t="s">
        <v>1196</v>
      </c>
      <c r="U299" s="7">
        <f t="shared" ref="U299:U330" si="41">DATEVALUE(LEFT(C299,10))</f>
        <v>45722</v>
      </c>
      <c r="V299" s="6">
        <f t="shared" ref="V299:V330" si="42">WEEKNUM(U299,21)</f>
        <v>10</v>
      </c>
      <c r="W299" s="8" t="str">
        <f t="shared" ref="W299:W330" si="43">MID(C299,12,5)</f>
        <v>17:00</v>
      </c>
      <c r="X299" s="8" t="str">
        <f t="shared" ref="X299:X330" si="44">MID(C299,32,5)</f>
        <v>19:30</v>
      </c>
      <c r="Y299" s="9">
        <f t="shared" ref="Y299:Y330" si="45">X299-W299</f>
        <v>0.10416666666666663</v>
      </c>
      <c r="Z299" s="22" t="str">
        <f t="shared" si="35"/>
        <v>2025-03-06 목 (17:00~19:30) : 2시간 30분</v>
      </c>
      <c r="AA299" s="22"/>
      <c r="AB299" s="6" t="str">
        <f ca="1">_xlfn.XLOOKUP(I299, 기초데이터!$C$2:$C$305, 기초데이터!$U$2:$U$305)</f>
        <v>ekcho@neurophet.com</v>
      </c>
    </row>
    <row r="300" spans="1:28" x14ac:dyDescent="0.3">
      <c r="A300" s="6">
        <f>SUBTOTAL(3,$I$2:I300)*1</f>
        <v>299</v>
      </c>
      <c r="B300" s="21" t="s">
        <v>25</v>
      </c>
      <c r="C300" s="6" t="s">
        <v>1197</v>
      </c>
      <c r="D300" s="6">
        <v>1</v>
      </c>
      <c r="E300" s="6" t="s">
        <v>50</v>
      </c>
      <c r="F300" s="6">
        <v>0</v>
      </c>
      <c r="G300" s="6" t="s">
        <v>139</v>
      </c>
      <c r="H300" s="6" t="s">
        <v>30</v>
      </c>
      <c r="I300" s="6" t="s">
        <v>547</v>
      </c>
      <c r="J300" s="6" t="s">
        <v>548</v>
      </c>
      <c r="K300" s="6" t="s">
        <v>33</v>
      </c>
      <c r="L300" s="6" t="s">
        <v>34</v>
      </c>
      <c r="M300" s="6" t="s">
        <v>35</v>
      </c>
      <c r="N300" s="6" t="s">
        <v>845</v>
      </c>
      <c r="O300" s="6" t="s">
        <v>846</v>
      </c>
      <c r="P300" s="6" t="s">
        <v>847</v>
      </c>
      <c r="T300" s="6" t="s">
        <v>1171</v>
      </c>
      <c r="U300" s="7">
        <f t="shared" si="41"/>
        <v>45722</v>
      </c>
      <c r="V300" s="6">
        <f t="shared" si="42"/>
        <v>10</v>
      </c>
      <c r="W300" s="8" t="str">
        <f t="shared" si="43"/>
        <v>19:46</v>
      </c>
      <c r="X300" s="8" t="str">
        <f t="shared" si="44"/>
        <v>22:30</v>
      </c>
      <c r="Y300" s="9">
        <f t="shared" si="45"/>
        <v>0.11388888888888893</v>
      </c>
      <c r="Z300" s="22" t="str">
        <f t="shared" si="35"/>
        <v>2025-03-06 목 (19:46~22:30) : 2시간 44분</v>
      </c>
      <c r="AA300" s="22"/>
      <c r="AB300" s="6" t="str">
        <f ca="1">_xlfn.XLOOKUP(I300, 기초데이터!$C$2:$C$305, 기초데이터!$U$2:$U$305)</f>
        <v>sgkang@neurophet.com</v>
      </c>
    </row>
    <row r="301" spans="1:28" x14ac:dyDescent="0.3">
      <c r="A301" s="6">
        <f>SUBTOTAL(3,$I$2:I301)*1</f>
        <v>300</v>
      </c>
      <c r="B301" s="21" t="s">
        <v>25</v>
      </c>
      <c r="C301" s="6" t="s">
        <v>1101</v>
      </c>
      <c r="D301" s="6">
        <v>1</v>
      </c>
      <c r="E301" s="6" t="s">
        <v>73</v>
      </c>
      <c r="F301" s="6">
        <v>0</v>
      </c>
      <c r="G301" s="6" t="s">
        <v>399</v>
      </c>
      <c r="H301" s="6" t="s">
        <v>30</v>
      </c>
      <c r="I301" s="6" t="s">
        <v>897</v>
      </c>
      <c r="J301" s="6" t="s">
        <v>898</v>
      </c>
      <c r="K301" s="6" t="s">
        <v>33</v>
      </c>
      <c r="L301" s="6" t="s">
        <v>34</v>
      </c>
      <c r="M301" s="6" t="s">
        <v>35</v>
      </c>
      <c r="N301" s="6" t="s">
        <v>853</v>
      </c>
      <c r="O301" s="6" t="s">
        <v>899</v>
      </c>
      <c r="P301" s="6" t="s">
        <v>1102</v>
      </c>
      <c r="T301" s="6" t="s">
        <v>901</v>
      </c>
      <c r="U301" s="11">
        <f t="shared" si="41"/>
        <v>45729</v>
      </c>
      <c r="V301" s="12">
        <f t="shared" si="42"/>
        <v>11</v>
      </c>
      <c r="W301" s="13" t="str">
        <f t="shared" si="43"/>
        <v>19:01</v>
      </c>
      <c r="X301" s="13" t="str">
        <f t="shared" si="44"/>
        <v>21:55</v>
      </c>
      <c r="Y301" s="14">
        <f t="shared" si="45"/>
        <v>0.12083333333333335</v>
      </c>
      <c r="Z301" s="22" t="str">
        <f t="shared" si="35"/>
        <v>2025-03-13 목 (19:01~21:55) : 2시간 54분</v>
      </c>
      <c r="AA301" s="22"/>
      <c r="AB301" s="6" t="str">
        <f ca="1">_xlfn.XLOOKUP(I301, 기초데이터!$C$2:$C$305, 기초데이터!$U$2:$U$305)</f>
        <v>sy.ha@neurophet.com</v>
      </c>
    </row>
    <row r="302" spans="1:28" x14ac:dyDescent="0.3">
      <c r="A302" s="6">
        <f>SUBTOTAL(3,$I$2:I302)*1</f>
        <v>301</v>
      </c>
      <c r="B302" s="21" t="s">
        <v>25</v>
      </c>
      <c r="C302" s="6" t="s">
        <v>1199</v>
      </c>
      <c r="D302" s="6">
        <v>1</v>
      </c>
      <c r="E302" s="6" t="s">
        <v>128</v>
      </c>
      <c r="F302" s="6">
        <v>0</v>
      </c>
      <c r="G302" s="6" t="s">
        <v>131</v>
      </c>
      <c r="H302" s="6" t="s">
        <v>56</v>
      </c>
      <c r="I302" s="6" t="s">
        <v>132</v>
      </c>
      <c r="J302" s="6" t="s">
        <v>133</v>
      </c>
      <c r="K302" s="6" t="s">
        <v>33</v>
      </c>
      <c r="L302" s="6" t="s">
        <v>34</v>
      </c>
      <c r="M302" s="6" t="s">
        <v>35</v>
      </c>
      <c r="N302" s="6" t="s">
        <v>688</v>
      </c>
      <c r="O302" s="6" t="s">
        <v>1200</v>
      </c>
      <c r="P302" s="6" t="s">
        <v>1201</v>
      </c>
      <c r="T302" s="6" t="s">
        <v>1202</v>
      </c>
      <c r="U302" s="7">
        <f t="shared" si="41"/>
        <v>45721</v>
      </c>
      <c r="V302" s="6">
        <f t="shared" si="42"/>
        <v>10</v>
      </c>
      <c r="W302" s="8" t="str">
        <f t="shared" si="43"/>
        <v>17:30</v>
      </c>
      <c r="X302" s="8" t="str">
        <f t="shared" si="44"/>
        <v>19:30</v>
      </c>
      <c r="Y302" s="9">
        <f t="shared" si="45"/>
        <v>8.333333333333337E-2</v>
      </c>
      <c r="Z302" s="22" t="str">
        <f t="shared" si="35"/>
        <v>2025-03-05 수 (17:30~19:30) : 2시간</v>
      </c>
      <c r="AA302" s="22"/>
      <c r="AB302" s="6" t="str">
        <f ca="1">_xlfn.XLOOKUP(I302, 기초데이터!$C$2:$C$305, 기초데이터!$U$2:$U$305)</f>
        <v>kelly.seo@neurophet.com</v>
      </c>
    </row>
    <row r="303" spans="1:28" x14ac:dyDescent="0.3">
      <c r="A303" s="6">
        <f>SUBTOTAL(3,$I$2:I303)*1</f>
        <v>302</v>
      </c>
      <c r="B303" s="21" t="s">
        <v>25</v>
      </c>
      <c r="C303" s="6" t="s">
        <v>1203</v>
      </c>
      <c r="D303" s="6">
        <v>1</v>
      </c>
      <c r="E303" s="6" t="s">
        <v>55</v>
      </c>
      <c r="F303" s="6">
        <v>0</v>
      </c>
      <c r="G303" s="6" t="s">
        <v>42</v>
      </c>
      <c r="H303" s="6" t="s">
        <v>30</v>
      </c>
      <c r="I303" s="6" t="s">
        <v>81</v>
      </c>
      <c r="J303" s="6" t="s">
        <v>82</v>
      </c>
      <c r="K303" s="6" t="s">
        <v>33</v>
      </c>
      <c r="L303" s="6" t="s">
        <v>34</v>
      </c>
      <c r="M303" s="6" t="s">
        <v>35</v>
      </c>
      <c r="N303" s="6" t="s">
        <v>800</v>
      </c>
      <c r="O303" s="6" t="s">
        <v>1204</v>
      </c>
      <c r="P303" s="6" t="s">
        <v>1205</v>
      </c>
      <c r="T303" s="6" t="s">
        <v>1206</v>
      </c>
      <c r="U303" s="7">
        <f t="shared" si="41"/>
        <v>45721</v>
      </c>
      <c r="V303" s="6">
        <f t="shared" si="42"/>
        <v>10</v>
      </c>
      <c r="W303" s="8" t="str">
        <f t="shared" si="43"/>
        <v>20:07</v>
      </c>
      <c r="X303" s="8" t="str">
        <f t="shared" si="44"/>
        <v>22:38</v>
      </c>
      <c r="Y303" s="9">
        <f t="shared" si="45"/>
        <v>0.10486111111111107</v>
      </c>
      <c r="Z303" s="22" t="str">
        <f t="shared" si="35"/>
        <v>2025-03-05 수 (20:07~22:38) : 2시간 31분</v>
      </c>
      <c r="AA303" s="22"/>
      <c r="AB303" s="6" t="str">
        <f ca="1">_xlfn.XLOOKUP(I303, 기초데이터!$C$2:$C$305, 기초데이터!$U$2:$U$305)</f>
        <v>dahyun@neurophet.com</v>
      </c>
    </row>
    <row r="304" spans="1:28" x14ac:dyDescent="0.3">
      <c r="A304" s="6">
        <f>SUBTOTAL(3,$I$2:I304)*1</f>
        <v>303</v>
      </c>
      <c r="B304" s="21" t="s">
        <v>25</v>
      </c>
      <c r="C304" s="6" t="s">
        <v>1207</v>
      </c>
      <c r="D304" s="6">
        <v>1</v>
      </c>
      <c r="E304" s="6" t="s">
        <v>53</v>
      </c>
      <c r="F304" s="6">
        <v>0</v>
      </c>
      <c r="G304" s="6" t="s">
        <v>340</v>
      </c>
      <c r="H304" s="6" t="s">
        <v>30</v>
      </c>
      <c r="I304" s="6" t="s">
        <v>341</v>
      </c>
      <c r="J304" s="6" t="s">
        <v>342</v>
      </c>
      <c r="K304" s="6" t="s">
        <v>33</v>
      </c>
      <c r="L304" s="6" t="s">
        <v>34</v>
      </c>
      <c r="M304" s="6" t="s">
        <v>35</v>
      </c>
      <c r="N304" s="6" t="s">
        <v>800</v>
      </c>
      <c r="O304" s="6" t="s">
        <v>1208</v>
      </c>
      <c r="P304" s="6" t="s">
        <v>1209</v>
      </c>
      <c r="T304" s="6" t="s">
        <v>1210</v>
      </c>
      <c r="U304" s="7">
        <f t="shared" si="41"/>
        <v>45721</v>
      </c>
      <c r="V304" s="6">
        <f t="shared" si="42"/>
        <v>10</v>
      </c>
      <c r="W304" s="8" t="str">
        <f t="shared" si="43"/>
        <v>17:03</v>
      </c>
      <c r="X304" s="8" t="str">
        <f t="shared" si="44"/>
        <v>21:02</v>
      </c>
      <c r="Y304" s="9">
        <f t="shared" si="45"/>
        <v>0.16597222222222219</v>
      </c>
      <c r="Z304" s="22" t="str">
        <f t="shared" si="35"/>
        <v>2025-03-05 수 (17:03~21:02) : 3시간 59분</v>
      </c>
      <c r="AA304" s="22"/>
      <c r="AB304" s="6" t="str">
        <f ca="1">_xlfn.XLOOKUP(I304, 기초데이터!$C$2:$C$305, 기초데이터!$U$2:$U$305)</f>
        <v>eunhyecho@neurophet.com</v>
      </c>
    </row>
    <row r="305" spans="1:28" x14ac:dyDescent="0.3">
      <c r="A305" s="6">
        <f>SUBTOTAL(3,$I$2:I305)*1</f>
        <v>304</v>
      </c>
      <c r="B305" s="21" t="s">
        <v>25</v>
      </c>
      <c r="C305" s="10" t="s">
        <v>1211</v>
      </c>
      <c r="D305" s="6">
        <v>1</v>
      </c>
      <c r="E305" s="6" t="s">
        <v>128</v>
      </c>
      <c r="F305" s="6">
        <v>0</v>
      </c>
      <c r="G305" s="6" t="s">
        <v>111</v>
      </c>
      <c r="H305" s="6" t="s">
        <v>30</v>
      </c>
      <c r="I305" s="6" t="s">
        <v>112</v>
      </c>
      <c r="J305" s="6" t="s">
        <v>113</v>
      </c>
      <c r="K305" s="6" t="s">
        <v>33</v>
      </c>
      <c r="L305" s="6" t="s">
        <v>34</v>
      </c>
      <c r="M305" s="6" t="s">
        <v>35</v>
      </c>
      <c r="N305" s="6" t="s">
        <v>649</v>
      </c>
      <c r="O305" s="6" t="s">
        <v>1212</v>
      </c>
      <c r="P305" s="6" t="s">
        <v>1213</v>
      </c>
      <c r="T305" s="6" t="s">
        <v>1214</v>
      </c>
      <c r="U305" s="7">
        <f t="shared" si="41"/>
        <v>45721</v>
      </c>
      <c r="V305" s="6">
        <f t="shared" si="42"/>
        <v>10</v>
      </c>
      <c r="W305" s="8" t="str">
        <f t="shared" si="43"/>
        <v>16:00</v>
      </c>
      <c r="X305" s="8" t="str">
        <f t="shared" si="44"/>
        <v>18:00</v>
      </c>
      <c r="Y305" s="9">
        <f t="shared" si="45"/>
        <v>8.333333333333337E-2</v>
      </c>
      <c r="Z305" s="22" t="str">
        <f t="shared" si="35"/>
        <v>2025-03-05 수 (16:00~18:00) : 2시간</v>
      </c>
      <c r="AA305" s="22"/>
      <c r="AB305" s="6" t="str">
        <f ca="1">_xlfn.XLOOKUP(I305, 기초데이터!$C$2:$C$305, 기초데이터!$U$2:$U$305)</f>
        <v>mshyun@neurophet.com</v>
      </c>
    </row>
    <row r="306" spans="1:28" x14ac:dyDescent="0.3">
      <c r="A306" s="6">
        <f>SUBTOTAL(3,$I$2:I306)*1</f>
        <v>305</v>
      </c>
      <c r="B306" s="21" t="s">
        <v>25</v>
      </c>
      <c r="C306" s="6" t="s">
        <v>1215</v>
      </c>
      <c r="D306" s="6">
        <v>1</v>
      </c>
      <c r="E306" s="6" t="s">
        <v>53</v>
      </c>
      <c r="F306" s="6">
        <v>0</v>
      </c>
      <c r="G306" s="6" t="s">
        <v>399</v>
      </c>
      <c r="H306" s="6" t="s">
        <v>30</v>
      </c>
      <c r="I306" s="6" t="s">
        <v>400</v>
      </c>
      <c r="J306" s="6" t="s">
        <v>401</v>
      </c>
      <c r="K306" s="6" t="s">
        <v>33</v>
      </c>
      <c r="L306" s="6" t="s">
        <v>34</v>
      </c>
      <c r="M306" s="6" t="s">
        <v>35</v>
      </c>
      <c r="N306" s="6" t="s">
        <v>1108</v>
      </c>
      <c r="O306" s="6" t="s">
        <v>1156</v>
      </c>
      <c r="P306" s="6" t="s">
        <v>1157</v>
      </c>
      <c r="T306" s="6" t="s">
        <v>1216</v>
      </c>
      <c r="U306" s="7">
        <f t="shared" si="41"/>
        <v>45721</v>
      </c>
      <c r="V306" s="6">
        <f t="shared" si="42"/>
        <v>10</v>
      </c>
      <c r="W306" s="8" t="str">
        <f t="shared" si="43"/>
        <v>16:05</v>
      </c>
      <c r="X306" s="8" t="str">
        <f t="shared" si="44"/>
        <v>20:05</v>
      </c>
      <c r="Y306" s="9">
        <f t="shared" si="45"/>
        <v>0.16666666666666674</v>
      </c>
      <c r="Z306" s="22" t="str">
        <f t="shared" si="35"/>
        <v>2025-03-05 수 (16:05~20:05) : 4시간</v>
      </c>
      <c r="AA306" s="22"/>
      <c r="AB306" s="6" t="str">
        <f ca="1">_xlfn.XLOOKUP(I306, 기초데이터!$C$2:$C$305, 기초데이터!$U$2:$U$305)</f>
        <v>lsr@neurophet.com</v>
      </c>
    </row>
    <row r="307" spans="1:28" x14ac:dyDescent="0.3">
      <c r="A307" s="6">
        <f>SUBTOTAL(3,$I$2:I307)*1</f>
        <v>306</v>
      </c>
      <c r="B307" s="21" t="s">
        <v>25</v>
      </c>
      <c r="C307" s="10" t="s">
        <v>1217</v>
      </c>
      <c r="D307" s="6">
        <v>1</v>
      </c>
      <c r="E307" s="6" t="s">
        <v>128</v>
      </c>
      <c r="F307" s="6">
        <v>0</v>
      </c>
      <c r="G307" s="6" t="s">
        <v>42</v>
      </c>
      <c r="H307" s="6" t="s">
        <v>30</v>
      </c>
      <c r="I307" s="6" t="s">
        <v>43</v>
      </c>
      <c r="J307" s="6" t="s">
        <v>44</v>
      </c>
      <c r="K307" s="6" t="s">
        <v>33</v>
      </c>
      <c r="L307" s="6" t="s">
        <v>34</v>
      </c>
      <c r="M307" s="6" t="s">
        <v>35</v>
      </c>
      <c r="N307" s="6" t="s">
        <v>1161</v>
      </c>
      <c r="O307" s="6" t="s">
        <v>1218</v>
      </c>
      <c r="P307" s="6" t="s">
        <v>1219</v>
      </c>
      <c r="T307" s="6" t="s">
        <v>1220</v>
      </c>
      <c r="U307" s="7">
        <f t="shared" si="41"/>
        <v>45721</v>
      </c>
      <c r="V307" s="6">
        <f t="shared" si="42"/>
        <v>10</v>
      </c>
      <c r="W307" s="8" t="str">
        <f t="shared" si="43"/>
        <v>21:39</v>
      </c>
      <c r="X307" s="8" t="str">
        <f t="shared" si="44"/>
        <v>23:39</v>
      </c>
      <c r="Y307" s="9">
        <f t="shared" si="45"/>
        <v>8.333333333333337E-2</v>
      </c>
      <c r="Z307" s="22" t="str">
        <f t="shared" si="35"/>
        <v>2025-03-05 수 (21:39~23:39) : 2시간</v>
      </c>
      <c r="AA307" s="22"/>
      <c r="AB307" s="6" t="str">
        <f ca="1">_xlfn.XLOOKUP(I307, 기초데이터!$C$2:$C$305, 기초데이터!$U$2:$U$305)</f>
        <v>jsy@neurophet.com</v>
      </c>
    </row>
    <row r="308" spans="1:28" x14ac:dyDescent="0.3">
      <c r="A308" s="6">
        <f>SUBTOTAL(3,$I$2:I308)*1</f>
        <v>307</v>
      </c>
      <c r="B308" s="21" t="s">
        <v>25</v>
      </c>
      <c r="C308" s="6" t="s">
        <v>1221</v>
      </c>
      <c r="D308" s="6">
        <v>1</v>
      </c>
      <c r="E308" s="6" t="s">
        <v>53</v>
      </c>
      <c r="F308" s="6">
        <v>0</v>
      </c>
      <c r="G308" s="6" t="s">
        <v>283</v>
      </c>
      <c r="H308" s="6" t="s">
        <v>30</v>
      </c>
      <c r="I308" s="6" t="s">
        <v>1222</v>
      </c>
      <c r="J308" s="6" t="s">
        <v>1223</v>
      </c>
      <c r="K308" s="6" t="s">
        <v>33</v>
      </c>
      <c r="L308" s="6" t="s">
        <v>34</v>
      </c>
      <c r="M308" s="6" t="s">
        <v>35</v>
      </c>
      <c r="N308" s="6" t="s">
        <v>1108</v>
      </c>
      <c r="O308" s="6" t="s">
        <v>1224</v>
      </c>
      <c r="P308" s="6" t="s">
        <v>1225</v>
      </c>
      <c r="T308" s="6" t="s">
        <v>1226</v>
      </c>
      <c r="U308" s="7">
        <f t="shared" si="41"/>
        <v>45721</v>
      </c>
      <c r="V308" s="6">
        <f t="shared" si="42"/>
        <v>10</v>
      </c>
      <c r="W308" s="8" t="str">
        <f t="shared" si="43"/>
        <v>18:30</v>
      </c>
      <c r="X308" s="8" t="str">
        <f t="shared" si="44"/>
        <v>22:30</v>
      </c>
      <c r="Y308" s="9">
        <f t="shared" si="45"/>
        <v>0.16666666666666663</v>
      </c>
      <c r="Z308" s="22" t="str">
        <f t="shared" si="35"/>
        <v>2025-03-05 수 (18:30~22:30) : 4시간</v>
      </c>
      <c r="AA308" s="22"/>
      <c r="AB308" s="6" t="str">
        <f ca="1">_xlfn.XLOOKUP(I308, 기초데이터!$C$2:$C$305, 기초데이터!$U$2:$U$305)</f>
        <v>minseop@neurophet.com</v>
      </c>
    </row>
    <row r="309" spans="1:28" x14ac:dyDescent="0.3">
      <c r="A309" s="6">
        <f>SUBTOTAL(3,$I$2:I309)*1</f>
        <v>308</v>
      </c>
      <c r="B309" s="21" t="s">
        <v>25</v>
      </c>
      <c r="C309" s="6" t="s">
        <v>1227</v>
      </c>
      <c r="D309" s="6">
        <v>1</v>
      </c>
      <c r="E309" s="6" t="s">
        <v>50</v>
      </c>
      <c r="F309" s="6">
        <v>0</v>
      </c>
      <c r="G309" s="6" t="s">
        <v>148</v>
      </c>
      <c r="H309" s="6" t="s">
        <v>30</v>
      </c>
      <c r="I309" s="6" t="s">
        <v>149</v>
      </c>
      <c r="J309" s="6" t="s">
        <v>150</v>
      </c>
      <c r="K309" s="6" t="s">
        <v>33</v>
      </c>
      <c r="L309" s="6" t="s">
        <v>34</v>
      </c>
      <c r="M309" s="6" t="s">
        <v>35</v>
      </c>
      <c r="N309" s="6" t="s">
        <v>1161</v>
      </c>
      <c r="O309" s="6" t="s">
        <v>1228</v>
      </c>
      <c r="P309" s="6" t="s">
        <v>1229</v>
      </c>
      <c r="T309" s="6" t="s">
        <v>1230</v>
      </c>
      <c r="U309" s="7">
        <f t="shared" si="41"/>
        <v>45721</v>
      </c>
      <c r="V309" s="6">
        <f t="shared" si="42"/>
        <v>10</v>
      </c>
      <c r="W309" s="8" t="str">
        <f t="shared" si="43"/>
        <v>18:00</v>
      </c>
      <c r="X309" s="8" t="str">
        <f t="shared" si="44"/>
        <v>20:44</v>
      </c>
      <c r="Y309" s="9">
        <f t="shared" si="45"/>
        <v>0.11388888888888893</v>
      </c>
      <c r="Z309" s="22" t="str">
        <f t="shared" si="35"/>
        <v>2025-03-05 수 (18:00~20:44) : 2시간 44분</v>
      </c>
      <c r="AA309" s="22"/>
      <c r="AB309" s="6" t="str">
        <f ca="1">_xlfn.XLOOKUP(I309, 기초데이터!$C$2:$C$305, 기초데이터!$U$2:$U$305)</f>
        <v>sjsj0331@neurophet.com</v>
      </c>
    </row>
    <row r="310" spans="1:28" x14ac:dyDescent="0.3">
      <c r="A310" s="6">
        <f>SUBTOTAL(3,$I$2:I310)*1</f>
        <v>309</v>
      </c>
      <c r="B310" s="21" t="s">
        <v>25</v>
      </c>
      <c r="C310" s="6" t="s">
        <v>1231</v>
      </c>
      <c r="D310" s="6">
        <v>1</v>
      </c>
      <c r="E310" s="6" t="s">
        <v>205</v>
      </c>
      <c r="F310" s="6">
        <v>0</v>
      </c>
      <c r="G310" s="6" t="s">
        <v>399</v>
      </c>
      <c r="H310" s="6" t="s">
        <v>56</v>
      </c>
      <c r="I310" s="6" t="s">
        <v>420</v>
      </c>
      <c r="J310" s="6" t="s">
        <v>421</v>
      </c>
      <c r="K310" s="6" t="s">
        <v>33</v>
      </c>
      <c r="L310" s="6" t="s">
        <v>34</v>
      </c>
      <c r="M310" s="6" t="s">
        <v>35</v>
      </c>
      <c r="N310" s="6" t="s">
        <v>1113</v>
      </c>
      <c r="O310" s="6" t="s">
        <v>1114</v>
      </c>
      <c r="P310" s="6" t="s">
        <v>1115</v>
      </c>
      <c r="T310" s="6" t="s">
        <v>485</v>
      </c>
      <c r="U310" s="7">
        <f t="shared" si="41"/>
        <v>45721</v>
      </c>
      <c r="V310" s="6">
        <f t="shared" si="42"/>
        <v>10</v>
      </c>
      <c r="W310" s="8" t="str">
        <f t="shared" si="43"/>
        <v>18:24</v>
      </c>
      <c r="X310" s="8" t="str">
        <f t="shared" si="44"/>
        <v>22:02</v>
      </c>
      <c r="Y310" s="9">
        <f t="shared" si="45"/>
        <v>0.1513888888888888</v>
      </c>
      <c r="Z310" s="22" t="str">
        <f t="shared" si="35"/>
        <v>2025-03-05 수 (18:24~22:02) : 3시간 38분</v>
      </c>
      <c r="AA310" s="22"/>
      <c r="AB310" s="6" t="str">
        <f ca="1">_xlfn.XLOOKUP(I310, 기초데이터!$C$2:$C$305, 기초데이터!$U$2:$U$305)</f>
        <v>manjae.jeon@neurophet.com</v>
      </c>
    </row>
    <row r="311" spans="1:28" x14ac:dyDescent="0.3">
      <c r="A311" s="6">
        <f>SUBTOTAL(3,$I$2:I311)*1</f>
        <v>310</v>
      </c>
      <c r="B311" s="21" t="s">
        <v>25</v>
      </c>
      <c r="C311" s="6" t="s">
        <v>1232</v>
      </c>
      <c r="D311" s="6">
        <v>1</v>
      </c>
      <c r="E311" s="6" t="s">
        <v>53</v>
      </c>
      <c r="F311" s="6">
        <v>0</v>
      </c>
      <c r="G311" s="6" t="s">
        <v>399</v>
      </c>
      <c r="H311" s="6" t="s">
        <v>30</v>
      </c>
      <c r="I311" s="6" t="s">
        <v>659</v>
      </c>
      <c r="J311" s="6" t="s">
        <v>1104</v>
      </c>
      <c r="K311" s="6" t="s">
        <v>33</v>
      </c>
      <c r="L311" s="6" t="s">
        <v>34</v>
      </c>
      <c r="M311" s="6" t="s">
        <v>35</v>
      </c>
      <c r="N311" s="6" t="s">
        <v>1108</v>
      </c>
      <c r="O311" s="6" t="s">
        <v>1191</v>
      </c>
      <c r="P311" s="6" t="s">
        <v>1192</v>
      </c>
      <c r="T311" s="6" t="s">
        <v>485</v>
      </c>
      <c r="U311" s="7">
        <f t="shared" si="41"/>
        <v>45721</v>
      </c>
      <c r="V311" s="6">
        <f t="shared" si="42"/>
        <v>10</v>
      </c>
      <c r="W311" s="8" t="str">
        <f t="shared" si="43"/>
        <v>17:00</v>
      </c>
      <c r="X311" s="8" t="str">
        <f t="shared" si="44"/>
        <v>21:00</v>
      </c>
      <c r="Y311" s="9">
        <f t="shared" si="45"/>
        <v>0.16666666666666663</v>
      </c>
      <c r="Z311" s="22" t="str">
        <f t="shared" si="35"/>
        <v>2025-03-05 수 (17:00~21:00) : 4시간</v>
      </c>
      <c r="AA311" s="22"/>
      <c r="AB311" s="6" t="str">
        <f ca="1">_xlfn.XLOOKUP(I311, 기초데이터!$C$2:$C$305, 기초데이터!$U$2:$U$305)</f>
        <v>sikang@neurophet.com</v>
      </c>
    </row>
    <row r="312" spans="1:28" x14ac:dyDescent="0.3">
      <c r="A312" s="6">
        <f>SUBTOTAL(3,$I$2:I312)*1</f>
        <v>311</v>
      </c>
      <c r="B312" s="21" t="s">
        <v>25</v>
      </c>
      <c r="C312" s="6" t="s">
        <v>1233</v>
      </c>
      <c r="D312" s="6">
        <v>1</v>
      </c>
      <c r="E312" s="6" t="s">
        <v>63</v>
      </c>
      <c r="F312" s="6">
        <v>0</v>
      </c>
      <c r="G312" s="6" t="s">
        <v>139</v>
      </c>
      <c r="H312" s="6" t="s">
        <v>30</v>
      </c>
      <c r="I312" s="6" t="s">
        <v>547</v>
      </c>
      <c r="J312" s="6" t="s">
        <v>548</v>
      </c>
      <c r="K312" s="6" t="s">
        <v>33</v>
      </c>
      <c r="L312" s="6" t="s">
        <v>34</v>
      </c>
      <c r="M312" s="6" t="s">
        <v>35</v>
      </c>
      <c r="N312" s="6" t="s">
        <v>845</v>
      </c>
      <c r="O312" s="6" t="s">
        <v>846</v>
      </c>
      <c r="P312" s="6" t="s">
        <v>847</v>
      </c>
      <c r="T312" s="6" t="s">
        <v>1171</v>
      </c>
      <c r="U312" s="7">
        <f t="shared" si="41"/>
        <v>45721</v>
      </c>
      <c r="V312" s="6">
        <f t="shared" si="42"/>
        <v>10</v>
      </c>
      <c r="W312" s="8" t="str">
        <f t="shared" si="43"/>
        <v>18:58</v>
      </c>
      <c r="X312" s="8" t="str">
        <f t="shared" si="44"/>
        <v>22:00</v>
      </c>
      <c r="Y312" s="9">
        <f t="shared" si="45"/>
        <v>0.12638888888888888</v>
      </c>
      <c r="Z312" s="22" t="str">
        <f t="shared" si="35"/>
        <v>2025-03-05 수 (18:58~22:00) : 3시간 2분</v>
      </c>
      <c r="AA312" s="22"/>
      <c r="AB312" s="6" t="str">
        <f ca="1">_xlfn.XLOOKUP(I312, 기초데이터!$C$2:$C$305, 기초데이터!$U$2:$U$305)</f>
        <v>sgkang@neurophet.com</v>
      </c>
    </row>
    <row r="313" spans="1:28" x14ac:dyDescent="0.3">
      <c r="A313" s="6">
        <f>SUBTOTAL(3,$I$2:I313)*1</f>
        <v>312</v>
      </c>
      <c r="B313" s="21" t="s">
        <v>25</v>
      </c>
      <c r="C313" s="6" t="s">
        <v>1070</v>
      </c>
      <c r="D313" s="6">
        <v>1</v>
      </c>
      <c r="E313" s="6" t="s">
        <v>218</v>
      </c>
      <c r="F313" s="6">
        <v>0</v>
      </c>
      <c r="G313" s="6" t="s">
        <v>399</v>
      </c>
      <c r="H313" s="6" t="s">
        <v>30</v>
      </c>
      <c r="I313" s="6" t="s">
        <v>897</v>
      </c>
      <c r="J313" s="6" t="s">
        <v>898</v>
      </c>
      <c r="K313" s="6" t="s">
        <v>33</v>
      </c>
      <c r="L313" s="6" t="s">
        <v>34</v>
      </c>
      <c r="M313" s="6" t="s">
        <v>35</v>
      </c>
      <c r="N313" s="6" t="s">
        <v>853</v>
      </c>
      <c r="O313" s="6" t="s">
        <v>899</v>
      </c>
      <c r="P313" s="6" t="s">
        <v>1014</v>
      </c>
      <c r="T313" s="6" t="s">
        <v>901</v>
      </c>
      <c r="U313" s="11">
        <f t="shared" si="41"/>
        <v>45734</v>
      </c>
      <c r="V313" s="12">
        <f t="shared" si="42"/>
        <v>12</v>
      </c>
      <c r="W313" s="13" t="str">
        <f t="shared" si="43"/>
        <v>19:23</v>
      </c>
      <c r="X313" s="13" t="str">
        <f t="shared" si="44"/>
        <v>21:49</v>
      </c>
      <c r="Y313" s="14">
        <f t="shared" si="45"/>
        <v>0.10138888888888886</v>
      </c>
      <c r="Z313" s="22" t="str">
        <f t="shared" si="35"/>
        <v>2025-03-18 화 (19:23~21:49) : 2시간 26분</v>
      </c>
      <c r="AA313" s="22"/>
      <c r="AB313" s="6" t="str">
        <f ca="1">_xlfn.XLOOKUP(I313, 기초데이터!$C$2:$C$305, 기초데이터!$U$2:$U$305)</f>
        <v>sy.ha@neurophet.com</v>
      </c>
    </row>
    <row r="314" spans="1:28" x14ac:dyDescent="0.3">
      <c r="A314" s="6">
        <f>SUBTOTAL(3,$I$2:I314)*1</f>
        <v>313</v>
      </c>
      <c r="B314" s="21" t="s">
        <v>25</v>
      </c>
      <c r="C314" s="6" t="s">
        <v>1235</v>
      </c>
      <c r="D314" s="6">
        <v>1</v>
      </c>
      <c r="E314" s="6" t="s">
        <v>128</v>
      </c>
      <c r="F314" s="6">
        <v>0</v>
      </c>
      <c r="G314" s="6" t="s">
        <v>850</v>
      </c>
      <c r="H314" s="6" t="s">
        <v>56</v>
      </c>
      <c r="I314" s="6" t="s">
        <v>922</v>
      </c>
      <c r="J314" s="6" t="s">
        <v>923</v>
      </c>
      <c r="K314" s="6" t="s">
        <v>33</v>
      </c>
      <c r="L314" s="6" t="s">
        <v>34</v>
      </c>
      <c r="M314" s="6" t="s">
        <v>35</v>
      </c>
      <c r="N314" s="6" t="s">
        <v>740</v>
      </c>
      <c r="O314" s="6" t="s">
        <v>1236</v>
      </c>
      <c r="P314" s="6" t="s">
        <v>1237</v>
      </c>
      <c r="T314" s="6" t="s">
        <v>1238</v>
      </c>
      <c r="U314" s="7">
        <f t="shared" si="41"/>
        <v>45720</v>
      </c>
      <c r="V314" s="6">
        <f t="shared" si="42"/>
        <v>10</v>
      </c>
      <c r="W314" s="8" t="str">
        <f t="shared" si="43"/>
        <v>18:30</v>
      </c>
      <c r="X314" s="8" t="str">
        <f t="shared" si="44"/>
        <v>20:30</v>
      </c>
      <c r="Y314" s="9">
        <f t="shared" si="45"/>
        <v>8.3333333333333259E-2</v>
      </c>
      <c r="Z314" s="22" t="str">
        <f t="shared" si="35"/>
        <v>2025-03-04 화 (18:30~20:30) : 2시간</v>
      </c>
      <c r="AA314" s="22"/>
      <c r="AB314" s="6" t="str">
        <f ca="1">_xlfn.XLOOKUP(I314, 기초데이터!$C$2:$C$305, 기초데이터!$U$2:$U$305)</f>
        <v>kyeoryelee@neurophet.com</v>
      </c>
    </row>
    <row r="315" spans="1:28" x14ac:dyDescent="0.3">
      <c r="A315" s="6">
        <f>SUBTOTAL(3,$I$2:I315)*1</f>
        <v>314</v>
      </c>
      <c r="B315" s="21" t="s">
        <v>25</v>
      </c>
      <c r="C315" s="6" t="s">
        <v>1239</v>
      </c>
      <c r="D315" s="6">
        <v>1</v>
      </c>
      <c r="E315" s="6" t="s">
        <v>128</v>
      </c>
      <c r="F315" s="6">
        <v>0</v>
      </c>
      <c r="G315" s="6" t="s">
        <v>283</v>
      </c>
      <c r="H315" s="6" t="s">
        <v>30</v>
      </c>
      <c r="I315" s="6" t="s">
        <v>284</v>
      </c>
      <c r="J315" s="6" t="s">
        <v>285</v>
      </c>
      <c r="K315" s="6" t="s">
        <v>33</v>
      </c>
      <c r="L315" s="6" t="s">
        <v>34</v>
      </c>
      <c r="M315" s="6" t="s">
        <v>35</v>
      </c>
      <c r="N315" s="6" t="s">
        <v>680</v>
      </c>
      <c r="O315" s="6" t="s">
        <v>681</v>
      </c>
      <c r="P315" s="6" t="s">
        <v>682</v>
      </c>
      <c r="T315" s="6" t="s">
        <v>1240</v>
      </c>
      <c r="U315" s="7">
        <f t="shared" si="41"/>
        <v>45720</v>
      </c>
      <c r="V315" s="6">
        <f t="shared" si="42"/>
        <v>10</v>
      </c>
      <c r="W315" s="8" t="str">
        <f t="shared" si="43"/>
        <v>16:20</v>
      </c>
      <c r="X315" s="8" t="str">
        <f t="shared" si="44"/>
        <v>18:20</v>
      </c>
      <c r="Y315" s="9">
        <f t="shared" si="45"/>
        <v>8.3333333333333259E-2</v>
      </c>
      <c r="Z315" s="22" t="str">
        <f t="shared" si="35"/>
        <v>2025-03-04 화 (16:20~18:20) : 2시간</v>
      </c>
      <c r="AA315" s="22"/>
      <c r="AB315" s="6" t="str">
        <f ca="1">_xlfn.XLOOKUP(I315, 기초데이터!$C$2:$C$305, 기초데이터!$U$2:$U$305)</f>
        <v>hmseong@neurophet.com</v>
      </c>
    </row>
    <row r="316" spans="1:28" x14ac:dyDescent="0.3">
      <c r="A316" s="6">
        <f>SUBTOTAL(3,$I$2:I316)*1</f>
        <v>315</v>
      </c>
      <c r="B316" s="21" t="s">
        <v>25</v>
      </c>
      <c r="C316" s="6" t="s">
        <v>1241</v>
      </c>
      <c r="D316" s="6">
        <v>1</v>
      </c>
      <c r="E316" s="6" t="s">
        <v>128</v>
      </c>
      <c r="F316" s="6">
        <v>0</v>
      </c>
      <c r="G316" s="6" t="s">
        <v>399</v>
      </c>
      <c r="H316" s="6" t="s">
        <v>30</v>
      </c>
      <c r="I316" s="6" t="s">
        <v>400</v>
      </c>
      <c r="J316" s="6" t="s">
        <v>401</v>
      </c>
      <c r="K316" s="6" t="s">
        <v>33</v>
      </c>
      <c r="L316" s="6" t="s">
        <v>34</v>
      </c>
      <c r="M316" s="6" t="s">
        <v>35</v>
      </c>
      <c r="N316" s="6" t="s">
        <v>1108</v>
      </c>
      <c r="O316" s="6" t="s">
        <v>1156</v>
      </c>
      <c r="P316" s="6" t="s">
        <v>1157</v>
      </c>
      <c r="T316" s="6" t="s">
        <v>1216</v>
      </c>
      <c r="U316" s="7">
        <f t="shared" si="41"/>
        <v>45720</v>
      </c>
      <c r="V316" s="6">
        <f t="shared" si="42"/>
        <v>10</v>
      </c>
      <c r="W316" s="8" t="str">
        <f t="shared" si="43"/>
        <v>16:11</v>
      </c>
      <c r="X316" s="8" t="str">
        <f t="shared" si="44"/>
        <v>18:11</v>
      </c>
      <c r="Y316" s="9">
        <f t="shared" si="45"/>
        <v>8.3333333333333259E-2</v>
      </c>
      <c r="Z316" s="22" t="str">
        <f t="shared" si="35"/>
        <v>2025-03-04 화 (16:11~18:11) : 2시간</v>
      </c>
      <c r="AA316" s="22"/>
      <c r="AB316" s="6" t="str">
        <f ca="1">_xlfn.XLOOKUP(I316, 기초데이터!$C$2:$C$305, 기초데이터!$U$2:$U$305)</f>
        <v>lsr@neurophet.com</v>
      </c>
    </row>
    <row r="317" spans="1:28" x14ac:dyDescent="0.3">
      <c r="A317" s="6">
        <f>SUBTOTAL(3,$I$2:I317)*1</f>
        <v>316</v>
      </c>
      <c r="B317" s="21" t="s">
        <v>25</v>
      </c>
      <c r="C317" s="6" t="s">
        <v>1242</v>
      </c>
      <c r="D317" s="6">
        <v>1</v>
      </c>
      <c r="E317" s="6" t="s">
        <v>41</v>
      </c>
      <c r="F317" s="6">
        <v>0</v>
      </c>
      <c r="G317" s="6" t="s">
        <v>283</v>
      </c>
      <c r="H317" s="6" t="s">
        <v>30</v>
      </c>
      <c r="I317" s="6" t="s">
        <v>1222</v>
      </c>
      <c r="J317" s="6" t="s">
        <v>1223</v>
      </c>
      <c r="K317" s="6" t="s">
        <v>33</v>
      </c>
      <c r="L317" s="6" t="s">
        <v>34</v>
      </c>
      <c r="M317" s="6" t="s">
        <v>35</v>
      </c>
      <c r="N317" s="6" t="s">
        <v>1108</v>
      </c>
      <c r="O317" s="6" t="s">
        <v>1224</v>
      </c>
      <c r="P317" s="6" t="s">
        <v>1225</v>
      </c>
      <c r="T317" s="6" t="s">
        <v>1243</v>
      </c>
      <c r="U317" s="7">
        <f t="shared" si="41"/>
        <v>45720</v>
      </c>
      <c r="V317" s="6">
        <f t="shared" si="42"/>
        <v>10</v>
      </c>
      <c r="W317" s="8" t="str">
        <f t="shared" si="43"/>
        <v>18:30</v>
      </c>
      <c r="X317" s="8" t="str">
        <f t="shared" si="44"/>
        <v>20:45</v>
      </c>
      <c r="Y317" s="9">
        <f t="shared" si="45"/>
        <v>9.375E-2</v>
      </c>
      <c r="Z317" s="22" t="str">
        <f t="shared" si="35"/>
        <v>2025-03-04 화 (18:30~20:45) : 2시간 15분</v>
      </c>
      <c r="AA317" s="22"/>
      <c r="AB317" s="6" t="str">
        <f ca="1">_xlfn.XLOOKUP(I317, 기초데이터!$C$2:$C$305, 기초데이터!$U$2:$U$305)</f>
        <v>minseop@neurophet.com</v>
      </c>
    </row>
    <row r="318" spans="1:28" x14ac:dyDescent="0.3">
      <c r="A318" s="6">
        <f>SUBTOTAL(3,$I$2:I318)*1</f>
        <v>317</v>
      </c>
      <c r="B318" s="21" t="s">
        <v>25</v>
      </c>
      <c r="C318" s="6" t="s">
        <v>1244</v>
      </c>
      <c r="D318" s="6">
        <v>1</v>
      </c>
      <c r="E318" s="6" t="s">
        <v>41</v>
      </c>
      <c r="F318" s="6">
        <v>0</v>
      </c>
      <c r="G318" s="6" t="s">
        <v>139</v>
      </c>
      <c r="H318" s="6" t="s">
        <v>30</v>
      </c>
      <c r="I318" s="6" t="s">
        <v>547</v>
      </c>
      <c r="J318" s="6" t="s">
        <v>548</v>
      </c>
      <c r="K318" s="6" t="s">
        <v>33</v>
      </c>
      <c r="L318" s="6" t="s">
        <v>34</v>
      </c>
      <c r="M318" s="6" t="s">
        <v>35</v>
      </c>
      <c r="N318" s="6" t="s">
        <v>845</v>
      </c>
      <c r="O318" s="6" t="s">
        <v>846</v>
      </c>
      <c r="P318" s="6" t="s">
        <v>847</v>
      </c>
      <c r="T318" s="6" t="s">
        <v>1171</v>
      </c>
      <c r="U318" s="7">
        <f t="shared" si="41"/>
        <v>45720</v>
      </c>
      <c r="V318" s="6">
        <f t="shared" si="42"/>
        <v>10</v>
      </c>
      <c r="W318" s="8" t="str">
        <f t="shared" si="43"/>
        <v>19:53</v>
      </c>
      <c r="X318" s="8" t="str">
        <f t="shared" si="44"/>
        <v>22:10</v>
      </c>
      <c r="Y318" s="9">
        <f t="shared" si="45"/>
        <v>9.5138888888888884E-2</v>
      </c>
      <c r="Z318" s="22" t="str">
        <f t="shared" si="35"/>
        <v>2025-03-04 화 (19:53~22:10) : 2시간 17분</v>
      </c>
      <c r="AA318" s="22"/>
      <c r="AB318" s="6" t="str">
        <f ca="1">_xlfn.XLOOKUP(I318, 기초데이터!$C$2:$C$305, 기초데이터!$U$2:$U$305)</f>
        <v>sgkang@neurophet.com</v>
      </c>
    </row>
    <row r="319" spans="1:28" x14ac:dyDescent="0.3">
      <c r="A319" s="6">
        <f>SUBTOTAL(3,$I$2:I319)*1</f>
        <v>318</v>
      </c>
      <c r="B319" s="21" t="s">
        <v>25</v>
      </c>
      <c r="C319" s="6" t="s">
        <v>1013</v>
      </c>
      <c r="D319" s="6">
        <v>1</v>
      </c>
      <c r="E319" s="6" t="s">
        <v>218</v>
      </c>
      <c r="F319" s="6">
        <v>0</v>
      </c>
      <c r="G319" s="6" t="s">
        <v>399</v>
      </c>
      <c r="H319" s="6" t="s">
        <v>30</v>
      </c>
      <c r="I319" s="6" t="s">
        <v>897</v>
      </c>
      <c r="J319" s="6" t="s">
        <v>898</v>
      </c>
      <c r="K319" s="6" t="s">
        <v>33</v>
      </c>
      <c r="L319" s="6" t="s">
        <v>34</v>
      </c>
      <c r="M319" s="6" t="s">
        <v>35</v>
      </c>
      <c r="N319" s="6" t="s">
        <v>853</v>
      </c>
      <c r="O319" s="6" t="s">
        <v>899</v>
      </c>
      <c r="P319" s="6" t="s">
        <v>1014</v>
      </c>
      <c r="T319" s="6" t="s">
        <v>901</v>
      </c>
      <c r="U319" s="11">
        <f t="shared" si="41"/>
        <v>45737</v>
      </c>
      <c r="V319" s="12">
        <f t="shared" si="42"/>
        <v>12</v>
      </c>
      <c r="W319" s="13" t="str">
        <f t="shared" si="43"/>
        <v>18:29</v>
      </c>
      <c r="X319" s="13" t="str">
        <f t="shared" si="44"/>
        <v>20:51</v>
      </c>
      <c r="Y319" s="14">
        <f t="shared" si="45"/>
        <v>9.8611111111111094E-2</v>
      </c>
      <c r="Z319" s="22" t="str">
        <f t="shared" si="35"/>
        <v>2025-03-21 금 (18:29~20:51) : 2시간 22분</v>
      </c>
      <c r="AA319" s="22"/>
      <c r="AB319" s="6" t="str">
        <f ca="1">_xlfn.XLOOKUP(I319, 기초데이터!$C$2:$C$305, 기초데이터!$U$2:$U$305)</f>
        <v>sy.ha@neurophet.com</v>
      </c>
    </row>
    <row r="320" spans="1:28" x14ac:dyDescent="0.3">
      <c r="A320" s="6">
        <f>SUBTOTAL(3,$I$2:I320)*1</f>
        <v>319</v>
      </c>
      <c r="B320" s="21" t="s">
        <v>25</v>
      </c>
      <c r="C320" s="6" t="s">
        <v>1246</v>
      </c>
      <c r="D320" s="6">
        <v>1</v>
      </c>
      <c r="E320" s="6" t="s">
        <v>237</v>
      </c>
      <c r="F320" s="6">
        <v>0</v>
      </c>
      <c r="G320" s="6" t="s">
        <v>29</v>
      </c>
      <c r="H320" s="6" t="s">
        <v>30</v>
      </c>
      <c r="I320" s="6" t="s">
        <v>31</v>
      </c>
      <c r="J320" s="6" t="s">
        <v>32</v>
      </c>
      <c r="K320" s="6" t="s">
        <v>33</v>
      </c>
      <c r="L320" s="6" t="s">
        <v>34</v>
      </c>
      <c r="M320" s="6" t="s">
        <v>35</v>
      </c>
      <c r="N320" s="6" t="s">
        <v>740</v>
      </c>
      <c r="O320" s="6" t="s">
        <v>1247</v>
      </c>
      <c r="P320" s="6" t="s">
        <v>1248</v>
      </c>
      <c r="T320" s="6" t="s">
        <v>1249</v>
      </c>
      <c r="U320" s="7">
        <f t="shared" si="41"/>
        <v>45719</v>
      </c>
      <c r="V320" s="6">
        <f t="shared" si="42"/>
        <v>10</v>
      </c>
      <c r="W320" s="8" t="str">
        <f t="shared" si="43"/>
        <v>09:10</v>
      </c>
      <c r="X320" s="8" t="str">
        <f t="shared" si="44"/>
        <v>11:20</v>
      </c>
      <c r="Y320" s="9">
        <f t="shared" si="45"/>
        <v>9.027777777777779E-2</v>
      </c>
      <c r="Z320" s="22" t="str">
        <f t="shared" si="35"/>
        <v>2025-03-03 월 (09:10~11:20) : 2시간 10분</v>
      </c>
      <c r="AA320" s="22"/>
      <c r="AB320" s="6" t="str">
        <f ca="1">_xlfn.XLOOKUP(I320, 기초데이터!$C$2:$C$305, 기초데이터!$U$2:$U$305)</f>
        <v>kgy@neurophet.com</v>
      </c>
    </row>
    <row r="321" spans="1:28" x14ac:dyDescent="0.3">
      <c r="A321" s="6">
        <f>SUBTOTAL(3,$I$2:I321)*1</f>
        <v>320</v>
      </c>
      <c r="B321" s="21" t="s">
        <v>25</v>
      </c>
      <c r="C321" s="6" t="s">
        <v>1250</v>
      </c>
      <c r="D321" s="6">
        <v>1</v>
      </c>
      <c r="E321" s="6" t="s">
        <v>53</v>
      </c>
      <c r="F321" s="6">
        <v>0</v>
      </c>
      <c r="G321" s="6" t="s">
        <v>238</v>
      </c>
      <c r="H321" s="6" t="s">
        <v>30</v>
      </c>
      <c r="I321" s="6" t="s">
        <v>724</v>
      </c>
      <c r="J321" s="6" t="s">
        <v>725</v>
      </c>
      <c r="K321" s="6" t="s">
        <v>33</v>
      </c>
      <c r="L321" s="6" t="s">
        <v>34</v>
      </c>
      <c r="M321" s="6" t="s">
        <v>35</v>
      </c>
      <c r="N321" s="6" t="s">
        <v>688</v>
      </c>
      <c r="O321" s="6" t="s">
        <v>1251</v>
      </c>
      <c r="P321" s="6" t="s">
        <v>1252</v>
      </c>
      <c r="T321" s="6" t="s">
        <v>1253</v>
      </c>
      <c r="U321" s="7">
        <f t="shared" si="41"/>
        <v>45719</v>
      </c>
      <c r="V321" s="6">
        <f t="shared" si="42"/>
        <v>10</v>
      </c>
      <c r="W321" s="8" t="str">
        <f t="shared" si="43"/>
        <v>14:14</v>
      </c>
      <c r="X321" s="8" t="str">
        <f t="shared" si="44"/>
        <v>18:14</v>
      </c>
      <c r="Y321" s="9">
        <f t="shared" si="45"/>
        <v>0.16666666666666663</v>
      </c>
      <c r="Z321" s="22" t="str">
        <f t="shared" si="35"/>
        <v>2025-03-03 월 (14:14~18:14) : 4시간</v>
      </c>
      <c r="AA321" s="22"/>
      <c r="AB321" s="6" t="str">
        <f ca="1">_xlfn.XLOOKUP(I321, 기초데이터!$C$2:$C$305, 기초데이터!$U$2:$U$305)</f>
        <v>minwoo@neurophet.com</v>
      </c>
    </row>
    <row r="322" spans="1:28" x14ac:dyDescent="0.3">
      <c r="A322" s="6">
        <f>SUBTOTAL(3,$I$2:I322)*1</f>
        <v>321</v>
      </c>
      <c r="B322" s="21" t="s">
        <v>25</v>
      </c>
      <c r="C322" s="6" t="s">
        <v>1254</v>
      </c>
      <c r="D322" s="6">
        <v>1</v>
      </c>
      <c r="E322" s="6" t="s">
        <v>118</v>
      </c>
      <c r="F322" s="6">
        <v>0</v>
      </c>
      <c r="G322" s="6" t="s">
        <v>685</v>
      </c>
      <c r="H322" s="6" t="s">
        <v>30</v>
      </c>
      <c r="I322" s="6" t="s">
        <v>686</v>
      </c>
      <c r="J322" s="6" t="s">
        <v>687</v>
      </c>
      <c r="K322" s="6" t="s">
        <v>33</v>
      </c>
      <c r="L322" s="6" t="s">
        <v>34</v>
      </c>
      <c r="M322" s="6" t="s">
        <v>35</v>
      </c>
      <c r="N322" s="6" t="s">
        <v>1108</v>
      </c>
      <c r="O322" s="6" t="s">
        <v>1255</v>
      </c>
      <c r="P322" s="6" t="s">
        <v>1256</v>
      </c>
      <c r="T322" s="6" t="s">
        <v>1257</v>
      </c>
      <c r="U322" s="7">
        <f t="shared" si="41"/>
        <v>45719</v>
      </c>
      <c r="V322" s="6">
        <f t="shared" si="42"/>
        <v>10</v>
      </c>
      <c r="W322" s="8" t="str">
        <f t="shared" si="43"/>
        <v>13:00</v>
      </c>
      <c r="X322" s="8" t="str">
        <f t="shared" si="44"/>
        <v>14:00</v>
      </c>
      <c r="Y322" s="9">
        <f t="shared" si="45"/>
        <v>4.1666666666666741E-2</v>
      </c>
      <c r="Z322" s="22" t="str">
        <f t="shared" si="35"/>
        <v>2025-03-03 월 (13:00~14:00) : 1시간</v>
      </c>
      <c r="AA322" s="22"/>
      <c r="AB322" s="6" t="str">
        <f ca="1">_xlfn.XLOOKUP(I322, 기초데이터!$C$2:$C$305, 기초데이터!$U$2:$U$305)</f>
        <v>jjyoon@neurophet.com</v>
      </c>
    </row>
    <row r="323" spans="1:28" x14ac:dyDescent="0.3">
      <c r="A323" s="6">
        <f>SUBTOTAL(3,$I$2:I323)*1</f>
        <v>322</v>
      </c>
      <c r="B323" s="21" t="s">
        <v>25</v>
      </c>
      <c r="C323" s="6" t="s">
        <v>1258</v>
      </c>
      <c r="D323" s="6">
        <v>1</v>
      </c>
      <c r="E323" s="6" t="s">
        <v>1259</v>
      </c>
      <c r="F323" s="6">
        <v>0</v>
      </c>
      <c r="G323" s="6" t="s">
        <v>160</v>
      </c>
      <c r="H323" s="6" t="s">
        <v>56</v>
      </c>
      <c r="I323" s="6" t="s">
        <v>333</v>
      </c>
      <c r="J323" s="6" t="s">
        <v>334</v>
      </c>
      <c r="K323" s="6" t="s">
        <v>33</v>
      </c>
      <c r="L323" s="6" t="s">
        <v>34</v>
      </c>
      <c r="M323" s="6" t="s">
        <v>35</v>
      </c>
      <c r="N323" s="6" t="s">
        <v>740</v>
      </c>
      <c r="O323" s="6" t="s">
        <v>1260</v>
      </c>
      <c r="P323" s="6" t="s">
        <v>1261</v>
      </c>
      <c r="T323" s="6" t="s">
        <v>1262</v>
      </c>
      <c r="U323" s="7">
        <f t="shared" si="41"/>
        <v>45718</v>
      </c>
      <c r="V323" s="6">
        <f t="shared" si="42"/>
        <v>9</v>
      </c>
      <c r="W323" s="8" t="str">
        <f t="shared" si="43"/>
        <v>07:50</v>
      </c>
      <c r="X323" s="8" t="str">
        <f t="shared" si="44"/>
        <v>14:00</v>
      </c>
      <c r="Y323" s="9">
        <f t="shared" si="45"/>
        <v>0.25694444444444448</v>
      </c>
      <c r="Z323" s="22" t="str">
        <f t="shared" ref="Z323:Z330" si="46">TEXT(U323, "YYYY-MM-DD aaa")&amp;" ("&amp;TEXT(W323, "hh:mm")&amp;"~"&amp;TEXT(X323, "hh:mm")&amp;") : "&amp;IF(MINUTE(Y323)=0, TEXT(Y323, "h시간"), TEXT(Y323, "h시간 m분"))</f>
        <v>2025-03-02 일 (07:50~14:00) : 6시간 10분</v>
      </c>
      <c r="AA323" s="22"/>
      <c r="AB323" s="6" t="str">
        <f ca="1">_xlfn.XLOOKUP(I323, 기초데이터!$C$2:$C$305, 기초데이터!$U$2:$U$305)</f>
        <v>ywcho@neurophet.com</v>
      </c>
    </row>
    <row r="324" spans="1:28" x14ac:dyDescent="0.3">
      <c r="A324" s="6">
        <f>SUBTOTAL(3,$I$2:I324)*1</f>
        <v>323</v>
      </c>
      <c r="B324" s="21" t="s">
        <v>25</v>
      </c>
      <c r="C324" s="6" t="s">
        <v>1263</v>
      </c>
      <c r="D324" s="6">
        <v>1</v>
      </c>
      <c r="E324" s="6" t="s">
        <v>128</v>
      </c>
      <c r="F324" s="6">
        <v>0</v>
      </c>
      <c r="G324" s="6" t="s">
        <v>42</v>
      </c>
      <c r="H324" s="6" t="s">
        <v>30</v>
      </c>
      <c r="I324" s="6" t="s">
        <v>43</v>
      </c>
      <c r="J324" s="6" t="s">
        <v>44</v>
      </c>
      <c r="K324" s="6" t="s">
        <v>33</v>
      </c>
      <c r="L324" s="6" t="s">
        <v>34</v>
      </c>
      <c r="M324" s="6" t="s">
        <v>35</v>
      </c>
      <c r="N324" s="6" t="s">
        <v>740</v>
      </c>
      <c r="O324" s="6" t="s">
        <v>1264</v>
      </c>
      <c r="P324" s="6" t="s">
        <v>1265</v>
      </c>
      <c r="T324" s="6" t="s">
        <v>1266</v>
      </c>
      <c r="U324" s="7">
        <f t="shared" si="41"/>
        <v>45718</v>
      </c>
      <c r="V324" s="6">
        <f t="shared" si="42"/>
        <v>9</v>
      </c>
      <c r="W324" s="8" t="str">
        <f t="shared" si="43"/>
        <v>17:49</v>
      </c>
      <c r="X324" s="8" t="str">
        <f t="shared" si="44"/>
        <v>19:49</v>
      </c>
      <c r="Y324" s="9">
        <f t="shared" si="45"/>
        <v>8.3333333333333259E-2</v>
      </c>
      <c r="Z324" s="22" t="str">
        <f t="shared" si="46"/>
        <v>2025-03-02 일 (17:49~19:49) : 2시간</v>
      </c>
      <c r="AA324" s="22"/>
      <c r="AB324" s="6" t="str">
        <f ca="1">_xlfn.XLOOKUP(I324, 기초데이터!$C$2:$C$305, 기초데이터!$U$2:$U$305)</f>
        <v>jsy@neurophet.com</v>
      </c>
    </row>
    <row r="325" spans="1:28" x14ac:dyDescent="0.3">
      <c r="A325" s="6">
        <f>SUBTOTAL(3,$I$2:I325)*1</f>
        <v>324</v>
      </c>
      <c r="B325" s="21" t="s">
        <v>25</v>
      </c>
      <c r="C325" s="6" t="s">
        <v>1267</v>
      </c>
      <c r="D325" s="6">
        <v>1</v>
      </c>
      <c r="E325" s="6" t="s">
        <v>1268</v>
      </c>
      <c r="F325" s="6">
        <v>0</v>
      </c>
      <c r="G325" s="6" t="s">
        <v>685</v>
      </c>
      <c r="H325" s="6" t="s">
        <v>30</v>
      </c>
      <c r="I325" s="6" t="s">
        <v>686</v>
      </c>
      <c r="J325" s="6" t="s">
        <v>687</v>
      </c>
      <c r="K325" s="6" t="s">
        <v>33</v>
      </c>
      <c r="L325" s="6" t="s">
        <v>34</v>
      </c>
      <c r="M325" s="6" t="s">
        <v>35</v>
      </c>
      <c r="N325" s="6" t="s">
        <v>1108</v>
      </c>
      <c r="O325" s="6" t="s">
        <v>1255</v>
      </c>
      <c r="P325" s="6" t="s">
        <v>1256</v>
      </c>
      <c r="T325" s="6" t="s">
        <v>1257</v>
      </c>
      <c r="U325" s="7">
        <f t="shared" si="41"/>
        <v>45718</v>
      </c>
      <c r="V325" s="6">
        <f t="shared" si="42"/>
        <v>9</v>
      </c>
      <c r="W325" s="8" t="str">
        <f t="shared" si="43"/>
        <v>13:00</v>
      </c>
      <c r="X325" s="8" t="str">
        <f t="shared" si="44"/>
        <v>17:25</v>
      </c>
      <c r="Y325" s="9">
        <f t="shared" si="45"/>
        <v>0.18402777777777779</v>
      </c>
      <c r="Z325" s="22" t="str">
        <f t="shared" si="46"/>
        <v>2025-03-02 일 (13:00~17:25) : 4시간 25분</v>
      </c>
      <c r="AA325" s="22"/>
      <c r="AB325" s="6" t="str">
        <f ca="1">_xlfn.XLOOKUP(I325, 기초데이터!$C$2:$C$305, 기초데이터!$U$2:$U$305)</f>
        <v>jjyoon@neurophet.com</v>
      </c>
    </row>
    <row r="326" spans="1:28" x14ac:dyDescent="0.3">
      <c r="A326" s="6">
        <f>SUBTOTAL(3,$I$2:I326)*1</f>
        <v>325</v>
      </c>
      <c r="B326" s="21" t="s">
        <v>25</v>
      </c>
      <c r="C326" s="6" t="s">
        <v>1269</v>
      </c>
      <c r="D326" s="6">
        <v>1</v>
      </c>
      <c r="E326" s="6" t="s">
        <v>77</v>
      </c>
      <c r="F326" s="6">
        <v>0</v>
      </c>
      <c r="G326" s="6" t="s">
        <v>399</v>
      </c>
      <c r="H326" s="6" t="s">
        <v>56</v>
      </c>
      <c r="I326" s="6" t="s">
        <v>420</v>
      </c>
      <c r="J326" s="6" t="s">
        <v>421</v>
      </c>
      <c r="K326" s="6" t="s">
        <v>33</v>
      </c>
      <c r="L326" s="6" t="s">
        <v>34</v>
      </c>
      <c r="M326" s="6" t="s">
        <v>35</v>
      </c>
      <c r="N326" s="6" t="s">
        <v>740</v>
      </c>
      <c r="O326" s="6" t="s">
        <v>1270</v>
      </c>
      <c r="P326" s="6" t="s">
        <v>1271</v>
      </c>
      <c r="T326" s="6" t="s">
        <v>747</v>
      </c>
      <c r="U326" s="7">
        <f t="shared" si="41"/>
        <v>45717</v>
      </c>
      <c r="V326" s="6">
        <f t="shared" si="42"/>
        <v>9</v>
      </c>
      <c r="W326" s="8" t="str">
        <f t="shared" si="43"/>
        <v>09:31</v>
      </c>
      <c r="X326" s="8" t="str">
        <f t="shared" si="44"/>
        <v>14:29</v>
      </c>
      <c r="Y326" s="9">
        <f t="shared" si="45"/>
        <v>0.20694444444444443</v>
      </c>
      <c r="Z326" s="22" t="str">
        <f t="shared" si="46"/>
        <v>2025-03-01 토 (09:31~14:29) : 4시간 58분</v>
      </c>
      <c r="AA326" s="22"/>
      <c r="AB326" s="6" t="str">
        <f ca="1">_xlfn.XLOOKUP(I326, 기초데이터!$C$2:$C$305, 기초데이터!$U$2:$U$305)</f>
        <v>manjae.jeon@neurophet.com</v>
      </c>
    </row>
    <row r="327" spans="1:28" x14ac:dyDescent="0.3">
      <c r="A327" s="6">
        <f>SUBTOTAL(3,$I$2:I327)*1</f>
        <v>326</v>
      </c>
      <c r="B327" s="21" t="s">
        <v>25</v>
      </c>
      <c r="C327" s="6" t="s">
        <v>1272</v>
      </c>
      <c r="D327" s="6">
        <v>1</v>
      </c>
      <c r="E327" s="6" t="s">
        <v>205</v>
      </c>
      <c r="F327" s="6">
        <v>0</v>
      </c>
      <c r="G327" s="6" t="s">
        <v>42</v>
      </c>
      <c r="H327" s="6" t="s">
        <v>30</v>
      </c>
      <c r="I327" s="6" t="s">
        <v>81</v>
      </c>
      <c r="J327" s="6" t="s">
        <v>82</v>
      </c>
      <c r="K327" s="6" t="s">
        <v>33</v>
      </c>
      <c r="L327" s="6" t="s">
        <v>34</v>
      </c>
      <c r="M327" s="6" t="s">
        <v>35</v>
      </c>
      <c r="N327" s="6" t="s">
        <v>740</v>
      </c>
      <c r="O327" s="6" t="s">
        <v>1273</v>
      </c>
      <c r="P327" s="6" t="s">
        <v>1274</v>
      </c>
      <c r="T327" s="6" t="s">
        <v>1275</v>
      </c>
      <c r="U327" s="7">
        <f t="shared" si="41"/>
        <v>45717</v>
      </c>
      <c r="V327" s="6">
        <f t="shared" si="42"/>
        <v>9</v>
      </c>
      <c r="W327" s="8" t="str">
        <f t="shared" si="43"/>
        <v>18:29</v>
      </c>
      <c r="X327" s="8" t="str">
        <f t="shared" si="44"/>
        <v>22:05</v>
      </c>
      <c r="Y327" s="9">
        <f t="shared" si="45"/>
        <v>0.14999999999999991</v>
      </c>
      <c r="Z327" s="22" t="str">
        <f t="shared" si="46"/>
        <v>2025-03-01 토 (18:29~22:05) : 3시간 36분</v>
      </c>
      <c r="AA327" s="22"/>
      <c r="AB327" s="6" t="str">
        <f ca="1">_xlfn.XLOOKUP(I327, 기초데이터!$C$2:$C$305, 기초데이터!$U$2:$U$305)</f>
        <v>dahyun@neurophet.com</v>
      </c>
    </row>
    <row r="328" spans="1:28" x14ac:dyDescent="0.3">
      <c r="A328" s="6">
        <f>SUBTOTAL(3,$I$2:I328)*1</f>
        <v>327</v>
      </c>
      <c r="B328" s="21" t="s">
        <v>25</v>
      </c>
      <c r="C328" s="6" t="s">
        <v>1276</v>
      </c>
      <c r="D328" s="6">
        <v>1</v>
      </c>
      <c r="E328" s="6" t="s">
        <v>1277</v>
      </c>
      <c r="F328" s="6">
        <v>0</v>
      </c>
      <c r="G328" s="6" t="s">
        <v>685</v>
      </c>
      <c r="H328" s="6" t="s">
        <v>30</v>
      </c>
      <c r="I328" s="6" t="s">
        <v>686</v>
      </c>
      <c r="J328" s="6" t="s">
        <v>687</v>
      </c>
      <c r="K328" s="6" t="s">
        <v>33</v>
      </c>
      <c r="L328" s="6" t="s">
        <v>34</v>
      </c>
      <c r="M328" s="6" t="s">
        <v>35</v>
      </c>
      <c r="N328" s="6" t="s">
        <v>1108</v>
      </c>
      <c r="O328" s="6" t="s">
        <v>1255</v>
      </c>
      <c r="P328" s="6" t="s">
        <v>1256</v>
      </c>
      <c r="T328" s="6" t="s">
        <v>1257</v>
      </c>
      <c r="U328" s="7">
        <f t="shared" si="41"/>
        <v>45717</v>
      </c>
      <c r="V328" s="6">
        <f t="shared" si="42"/>
        <v>9</v>
      </c>
      <c r="W328" s="8" t="str">
        <f t="shared" si="43"/>
        <v>13:00</v>
      </c>
      <c r="X328" s="8" t="str">
        <f t="shared" si="44"/>
        <v>19:40</v>
      </c>
      <c r="Y328" s="9">
        <f t="shared" si="45"/>
        <v>0.27777777777777779</v>
      </c>
      <c r="Z328" s="22" t="str">
        <f t="shared" si="46"/>
        <v>2025-03-01 토 (13:00~19:40) : 6시간 40분</v>
      </c>
      <c r="AA328" s="22"/>
      <c r="AB328" s="6" t="str">
        <f ca="1">_xlfn.XLOOKUP(I328, 기초데이터!$C$2:$C$305, 기초데이터!$U$2:$U$305)</f>
        <v>jjyoon@neurophet.com</v>
      </c>
    </row>
    <row r="329" spans="1:28" x14ac:dyDescent="0.3">
      <c r="A329" s="6">
        <f>SUBTOTAL(3,$I$2:I329)*1</f>
        <v>328</v>
      </c>
      <c r="B329" s="21" t="s">
        <v>25</v>
      </c>
      <c r="C329" s="6" t="s">
        <v>961</v>
      </c>
      <c r="D329" s="6">
        <v>1</v>
      </c>
      <c r="E329" s="6" t="s">
        <v>101</v>
      </c>
      <c r="F329" s="6">
        <v>0</v>
      </c>
      <c r="G329" s="6" t="s">
        <v>399</v>
      </c>
      <c r="H329" s="6" t="s">
        <v>30</v>
      </c>
      <c r="I329" s="6" t="s">
        <v>897</v>
      </c>
      <c r="J329" s="6" t="s">
        <v>898</v>
      </c>
      <c r="K329" s="6" t="s">
        <v>33</v>
      </c>
      <c r="L329" s="6" t="s">
        <v>34</v>
      </c>
      <c r="M329" s="6" t="s">
        <v>35</v>
      </c>
      <c r="N329" s="6" t="s">
        <v>853</v>
      </c>
      <c r="O329" s="6" t="s">
        <v>899</v>
      </c>
      <c r="P329" s="6" t="s">
        <v>900</v>
      </c>
      <c r="T329" s="6" t="s">
        <v>901</v>
      </c>
      <c r="U329" s="11">
        <f t="shared" si="41"/>
        <v>45740</v>
      </c>
      <c r="V329" s="12">
        <f t="shared" si="42"/>
        <v>13</v>
      </c>
      <c r="W329" s="13" t="str">
        <f t="shared" si="43"/>
        <v>18:28</v>
      </c>
      <c r="X329" s="13" t="str">
        <f t="shared" si="44"/>
        <v>21:13</v>
      </c>
      <c r="Y329" s="14">
        <f t="shared" si="45"/>
        <v>0.11458333333333326</v>
      </c>
      <c r="Z329" s="22" t="str">
        <f t="shared" si="46"/>
        <v>2025-03-24 월 (18:28~21:13) : 2시간 45분</v>
      </c>
      <c r="AA329" s="22"/>
      <c r="AB329" s="6" t="str">
        <f ca="1">_xlfn.XLOOKUP(I329, 기초데이터!$C$2:$C$305, 기초데이터!$U$2:$U$305)</f>
        <v>sy.ha@neurophet.com</v>
      </c>
    </row>
    <row r="330" spans="1:28" x14ac:dyDescent="0.3">
      <c r="A330" s="6">
        <f>SUBTOTAL(3,$I$2:I330)*1</f>
        <v>329</v>
      </c>
      <c r="B330" s="21" t="s">
        <v>25</v>
      </c>
      <c r="C330" s="6" t="s">
        <v>896</v>
      </c>
      <c r="D330" s="6">
        <v>1</v>
      </c>
      <c r="E330" s="6" t="s">
        <v>101</v>
      </c>
      <c r="F330" s="6">
        <v>0</v>
      </c>
      <c r="G330" s="6" t="s">
        <v>399</v>
      </c>
      <c r="H330" s="6" t="s">
        <v>30</v>
      </c>
      <c r="I330" s="6" t="s">
        <v>897</v>
      </c>
      <c r="J330" s="6" t="s">
        <v>898</v>
      </c>
      <c r="K330" s="6" t="s">
        <v>33</v>
      </c>
      <c r="L330" s="6" t="s">
        <v>34</v>
      </c>
      <c r="M330" s="6" t="s">
        <v>35</v>
      </c>
      <c r="N330" s="6" t="s">
        <v>853</v>
      </c>
      <c r="O330" s="6" t="s">
        <v>899</v>
      </c>
      <c r="P330" s="6" t="s">
        <v>900</v>
      </c>
      <c r="T330" s="6" t="s">
        <v>901</v>
      </c>
      <c r="U330" s="11">
        <f t="shared" si="41"/>
        <v>45743</v>
      </c>
      <c r="V330" s="12">
        <f t="shared" si="42"/>
        <v>13</v>
      </c>
      <c r="W330" s="13" t="str">
        <f t="shared" si="43"/>
        <v>19:14</v>
      </c>
      <c r="X330" s="13" t="str">
        <f t="shared" si="44"/>
        <v>22:04</v>
      </c>
      <c r="Y330" s="14">
        <f t="shared" si="45"/>
        <v>0.11805555555555547</v>
      </c>
      <c r="Z330" s="22" t="str">
        <f t="shared" si="46"/>
        <v>2025-03-27 목 (19:14~22:04) : 2시간 50분</v>
      </c>
      <c r="AA330" s="22"/>
      <c r="AB330" s="6" t="str">
        <f ca="1">_xlfn.XLOOKUP(I330, 기초데이터!$C$2:$C$305, 기초데이터!$U$2:$U$305)</f>
        <v>sy.ha@neurophet.com</v>
      </c>
    </row>
    <row r="331" spans="1:28" x14ac:dyDescent="0.3">
      <c r="Z331" s="22"/>
      <c r="AA331" s="22"/>
    </row>
    <row r="332" spans="1:28" x14ac:dyDescent="0.3">
      <c r="Z332" s="22"/>
      <c r="AA332" s="22"/>
    </row>
    <row r="333" spans="1:28" x14ac:dyDescent="0.3">
      <c r="Z333" s="22"/>
      <c r="AA333" s="22"/>
    </row>
    <row r="334" spans="1:28" x14ac:dyDescent="0.3">
      <c r="Z334" s="22"/>
      <c r="AA334" s="22"/>
    </row>
    <row r="335" spans="1:28" x14ac:dyDescent="0.3">
      <c r="Z335" s="22"/>
      <c r="AA335" s="22"/>
    </row>
    <row r="336" spans="1:28" x14ac:dyDescent="0.3">
      <c r="Z336" s="22"/>
      <c r="AA336" s="22"/>
    </row>
    <row r="337" spans="26:27" x14ac:dyDescent="0.3">
      <c r="Z337" s="22"/>
      <c r="AA337" s="22"/>
    </row>
    <row r="338" spans="26:27" x14ac:dyDescent="0.3">
      <c r="Z338" s="22"/>
      <c r="AA338" s="22"/>
    </row>
    <row r="339" spans="26:27" x14ac:dyDescent="0.3">
      <c r="Z339" s="22"/>
      <c r="AA339" s="22"/>
    </row>
    <row r="340" spans="26:27" x14ac:dyDescent="0.3">
      <c r="Z340" s="22"/>
      <c r="AA340" s="22"/>
    </row>
    <row r="341" spans="26:27" x14ac:dyDescent="0.3">
      <c r="Z341" s="22"/>
      <c r="AA341" s="22"/>
    </row>
    <row r="342" spans="26:27" x14ac:dyDescent="0.3">
      <c r="Z342" s="22"/>
      <c r="AA342" s="22"/>
    </row>
    <row r="343" spans="26:27" x14ac:dyDescent="0.3">
      <c r="Z343" s="22"/>
      <c r="AA343" s="22"/>
    </row>
    <row r="344" spans="26:27" x14ac:dyDescent="0.3">
      <c r="Z344" s="22"/>
      <c r="AA344" s="22"/>
    </row>
    <row r="345" spans="26:27" x14ac:dyDescent="0.3">
      <c r="Z345" s="22"/>
      <c r="AA345" s="22"/>
    </row>
    <row r="346" spans="26:27" x14ac:dyDescent="0.3">
      <c r="Z346" s="22"/>
      <c r="AA346" s="22"/>
    </row>
    <row r="347" spans="26:27" x14ac:dyDescent="0.3">
      <c r="Z347" s="22"/>
      <c r="AA347" s="22"/>
    </row>
    <row r="348" spans="26:27" x14ac:dyDescent="0.3">
      <c r="Z348" s="22"/>
      <c r="AA348" s="22"/>
    </row>
    <row r="349" spans="26:27" x14ac:dyDescent="0.3">
      <c r="Z349" s="22"/>
      <c r="AA349" s="22"/>
    </row>
    <row r="350" spans="26:27" x14ac:dyDescent="0.3">
      <c r="Z350" s="22"/>
      <c r="AA350" s="22"/>
    </row>
    <row r="351" spans="26:27" x14ac:dyDescent="0.3">
      <c r="Z351" s="22"/>
      <c r="AA351" s="22"/>
    </row>
    <row r="352" spans="26:27" x14ac:dyDescent="0.3">
      <c r="Z352" s="22"/>
      <c r="AA352" s="22"/>
    </row>
    <row r="353" spans="26:27" x14ac:dyDescent="0.3">
      <c r="Z353" s="22"/>
      <c r="AA353" s="22"/>
    </row>
    <row r="354" spans="26:27" x14ac:dyDescent="0.3">
      <c r="Z354" s="22"/>
      <c r="AA354" s="22"/>
    </row>
    <row r="355" spans="26:27" x14ac:dyDescent="0.3">
      <c r="Z355" s="22"/>
      <c r="AA355" s="22"/>
    </row>
    <row r="356" spans="26:27" x14ac:dyDescent="0.3">
      <c r="Z356" s="22"/>
      <c r="AA356" s="22"/>
    </row>
    <row r="357" spans="26:27" x14ac:dyDescent="0.3">
      <c r="Z357" s="22"/>
      <c r="AA357" s="22"/>
    </row>
    <row r="358" spans="26:27" x14ac:dyDescent="0.3">
      <c r="Z358" s="22"/>
      <c r="AA358" s="22"/>
    </row>
    <row r="359" spans="26:27" x14ac:dyDescent="0.3">
      <c r="Z359" s="22"/>
      <c r="AA359" s="22"/>
    </row>
    <row r="360" spans="26:27" x14ac:dyDescent="0.3">
      <c r="Z360" s="22"/>
      <c r="AA360" s="22"/>
    </row>
    <row r="361" spans="26:27" x14ac:dyDescent="0.3">
      <c r="Z361" s="22"/>
      <c r="AA361" s="22"/>
    </row>
    <row r="362" spans="26:27" x14ac:dyDescent="0.3">
      <c r="Z362" s="22"/>
      <c r="AA362" s="22"/>
    </row>
    <row r="363" spans="26:27" x14ac:dyDescent="0.3">
      <c r="Z363" s="22"/>
      <c r="AA363" s="22"/>
    </row>
    <row r="364" spans="26:27" x14ac:dyDescent="0.3">
      <c r="Z364" s="22"/>
      <c r="AA364" s="22"/>
    </row>
    <row r="365" spans="26:27" x14ac:dyDescent="0.3">
      <c r="Z365" s="22"/>
      <c r="AA365" s="22"/>
    </row>
    <row r="366" spans="26:27" x14ac:dyDescent="0.3">
      <c r="Z366" s="22"/>
      <c r="AA366" s="22"/>
    </row>
    <row r="367" spans="26:27" x14ac:dyDescent="0.3">
      <c r="Z367" s="22"/>
      <c r="AA367" s="22"/>
    </row>
    <row r="368" spans="26:27" x14ac:dyDescent="0.3">
      <c r="Z368" s="22"/>
      <c r="AA368" s="22"/>
    </row>
    <row r="369" spans="26:27" x14ac:dyDescent="0.3">
      <c r="Z369" s="22"/>
      <c r="AA369" s="22"/>
    </row>
    <row r="370" spans="26:27" x14ac:dyDescent="0.3">
      <c r="Z370" s="22"/>
      <c r="AA370" s="22"/>
    </row>
    <row r="371" spans="26:27" x14ac:dyDescent="0.3">
      <c r="Z371" s="22"/>
      <c r="AA371" s="22"/>
    </row>
    <row r="372" spans="26:27" x14ac:dyDescent="0.3">
      <c r="Z372" s="22"/>
      <c r="AA372" s="22"/>
    </row>
    <row r="373" spans="26:27" x14ac:dyDescent="0.3">
      <c r="Z373" s="22"/>
      <c r="AA373" s="22"/>
    </row>
    <row r="374" spans="26:27" x14ac:dyDescent="0.3">
      <c r="Z374" s="22"/>
      <c r="AA374" s="22"/>
    </row>
    <row r="375" spans="26:27" x14ac:dyDescent="0.3">
      <c r="Z375" s="22"/>
      <c r="AA375" s="22"/>
    </row>
    <row r="376" spans="26:27" x14ac:dyDescent="0.3">
      <c r="Z376" s="22"/>
      <c r="AA376" s="22"/>
    </row>
    <row r="377" spans="26:27" x14ac:dyDescent="0.3">
      <c r="Z377" s="22"/>
      <c r="AA377" s="22"/>
    </row>
    <row r="378" spans="26:27" x14ac:dyDescent="0.3">
      <c r="Z378" s="22"/>
      <c r="AA378" s="22"/>
    </row>
    <row r="379" spans="26:27" x14ac:dyDescent="0.3">
      <c r="Z379" s="22"/>
      <c r="AA379" s="22"/>
    </row>
    <row r="380" spans="26:27" x14ac:dyDescent="0.3">
      <c r="Z380" s="22"/>
      <c r="AA380" s="22"/>
    </row>
    <row r="381" spans="26:27" x14ac:dyDescent="0.3">
      <c r="Z381" s="22"/>
      <c r="AA381" s="22"/>
    </row>
    <row r="382" spans="26:27" x14ac:dyDescent="0.3">
      <c r="Z382" s="22"/>
      <c r="AA382" s="22"/>
    </row>
    <row r="383" spans="26:27" x14ac:dyDescent="0.3">
      <c r="Z383" s="22"/>
      <c r="AA383" s="22"/>
    </row>
    <row r="384" spans="26:27" x14ac:dyDescent="0.3">
      <c r="Z384" s="22"/>
      <c r="AA384" s="22"/>
    </row>
    <row r="385" spans="26:27" x14ac:dyDescent="0.3">
      <c r="Z385" s="22"/>
      <c r="AA385" s="22"/>
    </row>
    <row r="386" spans="26:27" x14ac:dyDescent="0.3">
      <c r="Z386" s="22"/>
      <c r="AA386" s="22"/>
    </row>
    <row r="387" spans="26:27" x14ac:dyDescent="0.3">
      <c r="Z387" s="22"/>
      <c r="AA387" s="22"/>
    </row>
    <row r="388" spans="26:27" x14ac:dyDescent="0.3">
      <c r="Z388" s="22"/>
      <c r="AA388" s="22"/>
    </row>
    <row r="389" spans="26:27" x14ac:dyDescent="0.3">
      <c r="Z389" s="22"/>
      <c r="AA389" s="22"/>
    </row>
    <row r="390" spans="26:27" x14ac:dyDescent="0.3">
      <c r="Z390" s="22"/>
      <c r="AA390" s="22"/>
    </row>
    <row r="391" spans="26:27" x14ac:dyDescent="0.3">
      <c r="Z391" s="22"/>
      <c r="AA391" s="22"/>
    </row>
    <row r="392" spans="26:27" x14ac:dyDescent="0.3">
      <c r="Z392" s="22"/>
      <c r="AA392" s="22"/>
    </row>
    <row r="393" spans="26:27" x14ac:dyDescent="0.3">
      <c r="Z393" s="22"/>
      <c r="AA393" s="22"/>
    </row>
    <row r="394" spans="26:27" x14ac:dyDescent="0.3">
      <c r="Z394" s="22"/>
      <c r="AA394" s="22"/>
    </row>
    <row r="395" spans="26:27" x14ac:dyDescent="0.3">
      <c r="Z395" s="22"/>
      <c r="AA395" s="22"/>
    </row>
    <row r="396" spans="26:27" x14ac:dyDescent="0.3">
      <c r="Z396" s="22"/>
      <c r="AA396" s="22"/>
    </row>
    <row r="397" spans="26:27" x14ac:dyDescent="0.3">
      <c r="Z397" s="22"/>
      <c r="AA397" s="22"/>
    </row>
    <row r="398" spans="26:27" x14ac:dyDescent="0.3">
      <c r="Z398" s="22"/>
      <c r="AA398" s="22"/>
    </row>
    <row r="399" spans="26:27" x14ac:dyDescent="0.3">
      <c r="Z399" s="22"/>
      <c r="AA399" s="22"/>
    </row>
    <row r="400" spans="26:27" x14ac:dyDescent="0.3">
      <c r="Z400" s="22"/>
      <c r="AA400" s="22"/>
    </row>
    <row r="401" spans="26:27" x14ac:dyDescent="0.3">
      <c r="Z401" s="22"/>
      <c r="AA401" s="22"/>
    </row>
    <row r="402" spans="26:27" x14ac:dyDescent="0.3">
      <c r="Z402" s="22"/>
      <c r="AA402" s="22"/>
    </row>
    <row r="403" spans="26:27" x14ac:dyDescent="0.3">
      <c r="Z403" s="22"/>
      <c r="AA403" s="22"/>
    </row>
    <row r="404" spans="26:27" x14ac:dyDescent="0.3">
      <c r="Z404" s="22"/>
      <c r="AA404" s="22"/>
    </row>
    <row r="405" spans="26:27" x14ac:dyDescent="0.3">
      <c r="Z405" s="22"/>
      <c r="AA405" s="22"/>
    </row>
    <row r="406" spans="26:27" x14ac:dyDescent="0.3">
      <c r="Z406" s="22"/>
      <c r="AA406" s="22"/>
    </row>
    <row r="407" spans="26:27" x14ac:dyDescent="0.3">
      <c r="Z407" s="22"/>
      <c r="AA407" s="22"/>
    </row>
    <row r="408" spans="26:27" x14ac:dyDescent="0.3">
      <c r="Z408" s="22"/>
      <c r="AA408" s="22"/>
    </row>
    <row r="409" spans="26:27" x14ac:dyDescent="0.3">
      <c r="Z409" s="22"/>
      <c r="AA409" s="22"/>
    </row>
    <row r="410" spans="26:27" x14ac:dyDescent="0.3">
      <c r="Z410" s="22"/>
      <c r="AA410" s="22"/>
    </row>
    <row r="411" spans="26:27" x14ac:dyDescent="0.3">
      <c r="Z411" s="22"/>
      <c r="AA411" s="22"/>
    </row>
    <row r="412" spans="26:27" x14ac:dyDescent="0.3">
      <c r="Z412" s="22"/>
      <c r="AA412" s="22"/>
    </row>
    <row r="413" spans="26:27" x14ac:dyDescent="0.3">
      <c r="Z413" s="22"/>
      <c r="AA413" s="22"/>
    </row>
    <row r="414" spans="26:27" x14ac:dyDescent="0.3">
      <c r="Z414" s="22"/>
      <c r="AA414" s="22"/>
    </row>
    <row r="415" spans="26:27" x14ac:dyDescent="0.3">
      <c r="Z415" s="22"/>
      <c r="AA415" s="22"/>
    </row>
    <row r="416" spans="26:27" x14ac:dyDescent="0.3">
      <c r="Z416" s="22"/>
      <c r="AA416" s="22"/>
    </row>
    <row r="417" spans="26:27" x14ac:dyDescent="0.3">
      <c r="Z417" s="22"/>
      <c r="AA417" s="22"/>
    </row>
    <row r="418" spans="26:27" x14ac:dyDescent="0.3">
      <c r="Z418" s="22"/>
      <c r="AA418" s="22"/>
    </row>
    <row r="419" spans="26:27" x14ac:dyDescent="0.3">
      <c r="Z419" s="22"/>
      <c r="AA419" s="22"/>
    </row>
    <row r="420" spans="26:27" x14ac:dyDescent="0.3">
      <c r="Z420" s="22"/>
      <c r="AA420" s="22"/>
    </row>
    <row r="421" spans="26:27" x14ac:dyDescent="0.3">
      <c r="Z421" s="22"/>
      <c r="AA421" s="22"/>
    </row>
    <row r="422" spans="26:27" x14ac:dyDescent="0.3">
      <c r="Z422" s="22"/>
      <c r="AA422" s="22"/>
    </row>
    <row r="423" spans="26:27" x14ac:dyDescent="0.3">
      <c r="Z423" s="22"/>
      <c r="AA423" s="22"/>
    </row>
    <row r="424" spans="26:27" x14ac:dyDescent="0.3">
      <c r="Z424" s="22"/>
      <c r="AA424" s="22"/>
    </row>
    <row r="425" spans="26:27" x14ac:dyDescent="0.3">
      <c r="Z425" s="22"/>
      <c r="AA425" s="22"/>
    </row>
    <row r="426" spans="26:27" x14ac:dyDescent="0.3">
      <c r="Z426" s="22"/>
      <c r="AA426" s="22"/>
    </row>
    <row r="427" spans="26:27" x14ac:dyDescent="0.3">
      <c r="Z427" s="22"/>
      <c r="AA427" s="22"/>
    </row>
    <row r="428" spans="26:27" x14ac:dyDescent="0.3">
      <c r="Z428" s="22"/>
      <c r="AA428" s="22"/>
    </row>
    <row r="429" spans="26:27" x14ac:dyDescent="0.3">
      <c r="Z429" s="22"/>
      <c r="AA429" s="22"/>
    </row>
    <row r="430" spans="26:27" x14ac:dyDescent="0.3">
      <c r="Z430" s="22"/>
      <c r="AA430" s="22"/>
    </row>
    <row r="431" spans="26:27" x14ac:dyDescent="0.3">
      <c r="Z431" s="22"/>
      <c r="AA431" s="22"/>
    </row>
    <row r="432" spans="26:27" x14ac:dyDescent="0.3">
      <c r="Z432" s="22"/>
      <c r="AA432" s="22"/>
    </row>
    <row r="433" spans="26:27" x14ac:dyDescent="0.3">
      <c r="Z433" s="22"/>
      <c r="AA433" s="22"/>
    </row>
    <row r="434" spans="26:27" x14ac:dyDescent="0.3">
      <c r="Z434" s="22"/>
      <c r="AA434" s="22"/>
    </row>
    <row r="435" spans="26:27" x14ac:dyDescent="0.3">
      <c r="Z435" s="22"/>
      <c r="AA435" s="22"/>
    </row>
    <row r="436" spans="26:27" x14ac:dyDescent="0.3">
      <c r="Z436" s="22"/>
      <c r="AA436" s="22"/>
    </row>
    <row r="437" spans="26:27" x14ac:dyDescent="0.3">
      <c r="Z437" s="22"/>
      <c r="AA437" s="22"/>
    </row>
    <row r="438" spans="26:27" x14ac:dyDescent="0.3">
      <c r="Z438" s="22"/>
      <c r="AA438" s="22"/>
    </row>
    <row r="439" spans="26:27" x14ac:dyDescent="0.3">
      <c r="Z439" s="22"/>
      <c r="AA439" s="22"/>
    </row>
    <row r="440" spans="26:27" x14ac:dyDescent="0.3">
      <c r="Z440" s="22"/>
      <c r="AA440" s="22"/>
    </row>
    <row r="441" spans="26:27" x14ac:dyDescent="0.3">
      <c r="Z441" s="22"/>
      <c r="AA441" s="22"/>
    </row>
    <row r="442" spans="26:27" x14ac:dyDescent="0.3">
      <c r="Z442" s="22"/>
      <c r="AA442" s="22"/>
    </row>
    <row r="443" spans="26:27" x14ac:dyDescent="0.3">
      <c r="Z443" s="22"/>
      <c r="AA443" s="22"/>
    </row>
    <row r="444" spans="26:27" x14ac:dyDescent="0.3">
      <c r="Z444" s="22"/>
      <c r="AA444" s="22"/>
    </row>
    <row r="445" spans="26:27" x14ac:dyDescent="0.3">
      <c r="Z445" s="22"/>
      <c r="AA445" s="22"/>
    </row>
    <row r="446" spans="26:27" x14ac:dyDescent="0.3">
      <c r="Z446" s="22"/>
      <c r="AA446" s="22"/>
    </row>
    <row r="447" spans="26:27" x14ac:dyDescent="0.3">
      <c r="Z447" s="22"/>
      <c r="AA447" s="22"/>
    </row>
    <row r="448" spans="26:27" x14ac:dyDescent="0.3">
      <c r="Z448" s="22"/>
      <c r="AA448" s="22"/>
    </row>
    <row r="449" spans="26:27" x14ac:dyDescent="0.3">
      <c r="Z449" s="22"/>
      <c r="AA449" s="22"/>
    </row>
    <row r="450" spans="26:27" x14ac:dyDescent="0.3">
      <c r="Z450" s="22"/>
      <c r="AA450" s="22"/>
    </row>
    <row r="451" spans="26:27" x14ac:dyDescent="0.3">
      <c r="Z451" s="22"/>
      <c r="AA451" s="22"/>
    </row>
    <row r="452" spans="26:27" x14ac:dyDescent="0.3">
      <c r="Z452" s="22"/>
      <c r="AA452" s="22"/>
    </row>
    <row r="453" spans="26:27" x14ac:dyDescent="0.3">
      <c r="Z453" s="22"/>
      <c r="AA453" s="22"/>
    </row>
    <row r="454" spans="26:27" x14ac:dyDescent="0.3">
      <c r="Z454" s="22"/>
      <c r="AA454" s="22"/>
    </row>
    <row r="455" spans="26:27" x14ac:dyDescent="0.3">
      <c r="Z455" s="22"/>
      <c r="AA455" s="22"/>
    </row>
    <row r="456" spans="26:27" x14ac:dyDescent="0.3">
      <c r="Z456" s="22"/>
      <c r="AA456" s="22"/>
    </row>
    <row r="457" spans="26:27" x14ac:dyDescent="0.3">
      <c r="Z457" s="22"/>
      <c r="AA457" s="22"/>
    </row>
    <row r="458" spans="26:27" x14ac:dyDescent="0.3">
      <c r="Z458" s="22"/>
      <c r="AA458" s="22"/>
    </row>
    <row r="459" spans="26:27" x14ac:dyDescent="0.3">
      <c r="Z459" s="22"/>
      <c r="AA459" s="22"/>
    </row>
    <row r="460" spans="26:27" x14ac:dyDescent="0.3">
      <c r="Z460" s="22"/>
      <c r="AA460" s="22"/>
    </row>
    <row r="461" spans="26:27" x14ac:dyDescent="0.3">
      <c r="Z461" s="22"/>
      <c r="AA461" s="22"/>
    </row>
    <row r="462" spans="26:27" x14ac:dyDescent="0.3">
      <c r="Z462" s="22"/>
      <c r="AA462" s="22"/>
    </row>
    <row r="463" spans="26:27" x14ac:dyDescent="0.3">
      <c r="Z463" s="22"/>
      <c r="AA463" s="22"/>
    </row>
    <row r="464" spans="26:27" x14ac:dyDescent="0.3">
      <c r="Z464" s="22"/>
      <c r="AA464" s="22"/>
    </row>
    <row r="465" spans="26:27" x14ac:dyDescent="0.3">
      <c r="Z465" s="22"/>
      <c r="AA465" s="22"/>
    </row>
    <row r="466" spans="26:27" x14ac:dyDescent="0.3">
      <c r="Z466" s="22"/>
      <c r="AA466" s="22"/>
    </row>
    <row r="467" spans="26:27" x14ac:dyDescent="0.3">
      <c r="Z467" s="22"/>
      <c r="AA467" s="22"/>
    </row>
    <row r="468" spans="26:27" x14ac:dyDescent="0.3">
      <c r="Z468" s="22"/>
      <c r="AA468" s="22"/>
    </row>
    <row r="469" spans="26:27" x14ac:dyDescent="0.3">
      <c r="Z469" s="22"/>
      <c r="AA469" s="22"/>
    </row>
    <row r="470" spans="26:27" x14ac:dyDescent="0.3">
      <c r="Z470" s="22"/>
      <c r="AA470" s="22"/>
    </row>
    <row r="471" spans="26:27" x14ac:dyDescent="0.3">
      <c r="Z471" s="22"/>
      <c r="AA471" s="22"/>
    </row>
    <row r="472" spans="26:27" x14ac:dyDescent="0.3">
      <c r="Z472" s="22"/>
      <c r="AA472" s="22"/>
    </row>
    <row r="473" spans="26:27" x14ac:dyDescent="0.3">
      <c r="Z473" s="22"/>
      <c r="AA473" s="22"/>
    </row>
    <row r="474" spans="26:27" x14ac:dyDescent="0.3">
      <c r="Z474" s="22"/>
      <c r="AA474" s="22"/>
    </row>
    <row r="475" spans="26:27" x14ac:dyDescent="0.3">
      <c r="Z475" s="22"/>
      <c r="AA475" s="22"/>
    </row>
    <row r="476" spans="26:27" x14ac:dyDescent="0.3">
      <c r="Z476" s="22"/>
      <c r="AA476" s="22"/>
    </row>
    <row r="477" spans="26:27" x14ac:dyDescent="0.3">
      <c r="Z477" s="22"/>
      <c r="AA477" s="22"/>
    </row>
    <row r="478" spans="26:27" x14ac:dyDescent="0.3">
      <c r="Z478" s="22"/>
      <c r="AA478" s="22"/>
    </row>
    <row r="479" spans="26:27" x14ac:dyDescent="0.3">
      <c r="Z479" s="22"/>
      <c r="AA479" s="22"/>
    </row>
    <row r="480" spans="26:27" x14ac:dyDescent="0.3">
      <c r="Z480" s="22"/>
      <c r="AA480" s="22"/>
    </row>
    <row r="481" spans="26:27" x14ac:dyDescent="0.3">
      <c r="Z481" s="22"/>
      <c r="AA481" s="22"/>
    </row>
    <row r="482" spans="26:27" x14ac:dyDescent="0.3">
      <c r="Z482" s="22"/>
      <c r="AA482" s="22"/>
    </row>
    <row r="483" spans="26:27" x14ac:dyDescent="0.3">
      <c r="Z483" s="22"/>
      <c r="AA483" s="22"/>
    </row>
    <row r="484" spans="26:27" x14ac:dyDescent="0.3">
      <c r="Z484" s="22"/>
      <c r="AA484" s="22"/>
    </row>
    <row r="485" spans="26:27" x14ac:dyDescent="0.3">
      <c r="Z485" s="22"/>
      <c r="AA485" s="22"/>
    </row>
    <row r="486" spans="26:27" x14ac:dyDescent="0.3">
      <c r="Z486" s="22"/>
      <c r="AA486" s="22"/>
    </row>
    <row r="487" spans="26:27" x14ac:dyDescent="0.3">
      <c r="Z487" s="22"/>
      <c r="AA487" s="22"/>
    </row>
    <row r="488" spans="26:27" x14ac:dyDescent="0.3">
      <c r="Z488" s="22"/>
      <c r="AA488" s="22"/>
    </row>
    <row r="489" spans="26:27" x14ac:dyDescent="0.3">
      <c r="Z489" s="22"/>
      <c r="AA489" s="22"/>
    </row>
    <row r="490" spans="26:27" x14ac:dyDescent="0.3">
      <c r="Z490" s="22"/>
      <c r="AA490" s="22"/>
    </row>
    <row r="491" spans="26:27" x14ac:dyDescent="0.3">
      <c r="Z491" s="22"/>
      <c r="AA491" s="22"/>
    </row>
    <row r="492" spans="26:27" x14ac:dyDescent="0.3">
      <c r="Z492" s="22"/>
      <c r="AA492" s="22"/>
    </row>
    <row r="493" spans="26:27" x14ac:dyDescent="0.3">
      <c r="Z493" s="22"/>
      <c r="AA493" s="22"/>
    </row>
    <row r="494" spans="26:27" x14ac:dyDescent="0.3">
      <c r="Z494" s="22"/>
      <c r="AA494" s="22"/>
    </row>
    <row r="495" spans="26:27" x14ac:dyDescent="0.3">
      <c r="Z495" s="22"/>
      <c r="AA495" s="22"/>
    </row>
    <row r="496" spans="26:27" x14ac:dyDescent="0.3">
      <c r="Z496" s="22"/>
      <c r="AA496" s="22"/>
    </row>
    <row r="497" spans="26:27" x14ac:dyDescent="0.3">
      <c r="Z497" s="22"/>
      <c r="AA497" s="22"/>
    </row>
    <row r="498" spans="26:27" x14ac:dyDescent="0.3">
      <c r="Z498" s="22"/>
      <c r="AA498" s="22"/>
    </row>
    <row r="499" spans="26:27" x14ac:dyDescent="0.3">
      <c r="Z499" s="22"/>
      <c r="AA499" s="22"/>
    </row>
    <row r="500" spans="26:27" x14ac:dyDescent="0.3">
      <c r="Z500" s="22"/>
      <c r="AA500" s="22"/>
    </row>
    <row r="501" spans="26:27" x14ac:dyDescent="0.3">
      <c r="Z501" s="22"/>
      <c r="AA501" s="22"/>
    </row>
    <row r="502" spans="26:27" x14ac:dyDescent="0.3">
      <c r="Z502" s="22"/>
      <c r="AA502" s="22"/>
    </row>
    <row r="503" spans="26:27" x14ac:dyDescent="0.3">
      <c r="Z503" s="22"/>
      <c r="AA503" s="22"/>
    </row>
    <row r="504" spans="26:27" x14ac:dyDescent="0.3">
      <c r="Z504" s="22"/>
      <c r="AA504" s="22"/>
    </row>
    <row r="505" spans="26:27" x14ac:dyDescent="0.3">
      <c r="Z505" s="22"/>
      <c r="AA505" s="22"/>
    </row>
    <row r="506" spans="26:27" x14ac:dyDescent="0.3">
      <c r="Z506" s="22"/>
      <c r="AA506" s="22"/>
    </row>
    <row r="507" spans="26:27" x14ac:dyDescent="0.3">
      <c r="Z507" s="22"/>
      <c r="AA507" s="22"/>
    </row>
    <row r="508" spans="26:27" x14ac:dyDescent="0.3">
      <c r="Z508" s="22"/>
      <c r="AA508" s="22"/>
    </row>
    <row r="509" spans="26:27" x14ac:dyDescent="0.3">
      <c r="Z509" s="22"/>
      <c r="AA509" s="22"/>
    </row>
    <row r="510" spans="26:27" x14ac:dyDescent="0.3">
      <c r="Z510" s="22"/>
      <c r="AA510" s="22"/>
    </row>
    <row r="511" spans="26:27" x14ac:dyDescent="0.3">
      <c r="Z511" s="22"/>
      <c r="AA511" s="22"/>
    </row>
    <row r="512" spans="26:27" x14ac:dyDescent="0.3">
      <c r="Z512" s="22"/>
      <c r="AA512" s="22"/>
    </row>
    <row r="513" spans="26:27" x14ac:dyDescent="0.3">
      <c r="Z513" s="22"/>
      <c r="AA513" s="22"/>
    </row>
    <row r="514" spans="26:27" x14ac:dyDescent="0.3">
      <c r="Z514" s="22"/>
      <c r="AA514" s="22"/>
    </row>
    <row r="515" spans="26:27" x14ac:dyDescent="0.3">
      <c r="Z515" s="22"/>
      <c r="AA515" s="22"/>
    </row>
    <row r="516" spans="26:27" x14ac:dyDescent="0.3">
      <c r="Z516" s="22"/>
      <c r="AA516" s="22"/>
    </row>
    <row r="517" spans="26:27" x14ac:dyDescent="0.3">
      <c r="Z517" s="22"/>
      <c r="AA517" s="22"/>
    </row>
    <row r="518" spans="26:27" x14ac:dyDescent="0.3">
      <c r="Z518" s="22"/>
      <c r="AA518" s="22"/>
    </row>
    <row r="519" spans="26:27" x14ac:dyDescent="0.3">
      <c r="Z519" s="22"/>
      <c r="AA519" s="22"/>
    </row>
    <row r="520" spans="26:27" x14ac:dyDescent="0.3">
      <c r="Z520" s="22"/>
      <c r="AA520" s="22"/>
    </row>
    <row r="521" spans="26:27" x14ac:dyDescent="0.3">
      <c r="Z521" s="22"/>
      <c r="AA521" s="22"/>
    </row>
    <row r="522" spans="26:27" x14ac:dyDescent="0.3">
      <c r="Z522" s="22"/>
      <c r="AA522" s="22"/>
    </row>
    <row r="523" spans="26:27" x14ac:dyDescent="0.3">
      <c r="Z523" s="22"/>
      <c r="AA523" s="22"/>
    </row>
    <row r="524" spans="26:27" x14ac:dyDescent="0.3">
      <c r="Z524" s="22"/>
      <c r="AA524" s="22"/>
    </row>
    <row r="525" spans="26:27" x14ac:dyDescent="0.3">
      <c r="Z525" s="22"/>
      <c r="AA525" s="22"/>
    </row>
    <row r="526" spans="26:27" x14ac:dyDescent="0.3">
      <c r="Z526" s="22"/>
      <c r="AA526" s="22"/>
    </row>
    <row r="527" spans="26:27" x14ac:dyDescent="0.3">
      <c r="Z527" s="22"/>
      <c r="AA527" s="22"/>
    </row>
    <row r="528" spans="26:27" x14ac:dyDescent="0.3">
      <c r="Z528" s="22"/>
      <c r="AA528" s="22"/>
    </row>
    <row r="529" spans="26:27" x14ac:dyDescent="0.3">
      <c r="Z529" s="22"/>
      <c r="AA529" s="22"/>
    </row>
    <row r="530" spans="26:27" x14ac:dyDescent="0.3">
      <c r="Z530" s="22"/>
      <c r="AA530" s="22"/>
    </row>
    <row r="531" spans="26:27" x14ac:dyDescent="0.3">
      <c r="Z531" s="22"/>
      <c r="AA531" s="22"/>
    </row>
    <row r="532" spans="26:27" x14ac:dyDescent="0.3">
      <c r="Z532" s="22"/>
      <c r="AA532" s="22"/>
    </row>
    <row r="533" spans="26:27" x14ac:dyDescent="0.3">
      <c r="Z533" s="22"/>
      <c r="AA533" s="22"/>
    </row>
    <row r="534" spans="26:27" x14ac:dyDescent="0.3">
      <c r="Z534" s="22"/>
      <c r="AA534" s="22"/>
    </row>
    <row r="535" spans="26:27" x14ac:dyDescent="0.3">
      <c r="Z535" s="22"/>
      <c r="AA535" s="22"/>
    </row>
    <row r="536" spans="26:27" x14ac:dyDescent="0.3">
      <c r="Z536" s="22"/>
      <c r="AA536" s="22"/>
    </row>
    <row r="537" spans="26:27" x14ac:dyDescent="0.3">
      <c r="Z537" s="22"/>
      <c r="AA537" s="22"/>
    </row>
    <row r="538" spans="26:27" x14ac:dyDescent="0.3">
      <c r="Z538" s="22"/>
      <c r="AA538" s="22"/>
    </row>
    <row r="539" spans="26:27" x14ac:dyDescent="0.3">
      <c r="Z539" s="22"/>
      <c r="AA539" s="22"/>
    </row>
    <row r="540" spans="26:27" x14ac:dyDescent="0.3">
      <c r="Z540" s="22"/>
      <c r="AA540" s="22"/>
    </row>
    <row r="541" spans="26:27" x14ac:dyDescent="0.3">
      <c r="Z541" s="22"/>
      <c r="AA541" s="22"/>
    </row>
    <row r="542" spans="26:27" x14ac:dyDescent="0.3">
      <c r="Z542" s="22"/>
      <c r="AA542" s="22"/>
    </row>
    <row r="543" spans="26:27" x14ac:dyDescent="0.3">
      <c r="Z543" s="22"/>
      <c r="AA543" s="22"/>
    </row>
    <row r="544" spans="26:27" x14ac:dyDescent="0.3">
      <c r="Z544" s="22"/>
      <c r="AA544" s="22"/>
    </row>
    <row r="545" spans="26:27" x14ac:dyDescent="0.3">
      <c r="Z545" s="22"/>
      <c r="AA545" s="22"/>
    </row>
    <row r="546" spans="26:27" x14ac:dyDescent="0.3">
      <c r="Z546" s="22"/>
      <c r="AA546" s="22"/>
    </row>
    <row r="547" spans="26:27" x14ac:dyDescent="0.3">
      <c r="Z547" s="22"/>
      <c r="AA547" s="22"/>
    </row>
    <row r="548" spans="26:27" x14ac:dyDescent="0.3">
      <c r="Z548" s="22"/>
      <c r="AA548" s="22"/>
    </row>
    <row r="549" spans="26:27" x14ac:dyDescent="0.3">
      <c r="Z549" s="22"/>
      <c r="AA549" s="22"/>
    </row>
    <row r="550" spans="26:27" x14ac:dyDescent="0.3">
      <c r="Z550" s="22"/>
      <c r="AA550" s="22"/>
    </row>
    <row r="551" spans="26:27" x14ac:dyDescent="0.3">
      <c r="Z551" s="22"/>
      <c r="AA551" s="22"/>
    </row>
    <row r="552" spans="26:27" x14ac:dyDescent="0.3">
      <c r="Z552" s="22"/>
      <c r="AA552" s="22"/>
    </row>
    <row r="553" spans="26:27" x14ac:dyDescent="0.3">
      <c r="Z553" s="22"/>
      <c r="AA553" s="22"/>
    </row>
    <row r="554" spans="26:27" x14ac:dyDescent="0.3">
      <c r="Z554" s="22"/>
      <c r="AA554" s="22"/>
    </row>
    <row r="555" spans="26:27" x14ac:dyDescent="0.3">
      <c r="Z555" s="22"/>
      <c r="AA555" s="22"/>
    </row>
    <row r="556" spans="26:27" x14ac:dyDescent="0.3">
      <c r="Z556" s="22"/>
      <c r="AA556" s="22"/>
    </row>
    <row r="557" spans="26:27" x14ac:dyDescent="0.3">
      <c r="Z557" s="22"/>
      <c r="AA557" s="22"/>
    </row>
    <row r="558" spans="26:27" x14ac:dyDescent="0.3">
      <c r="Z558" s="22"/>
      <c r="AA558" s="22"/>
    </row>
    <row r="559" spans="26:27" x14ac:dyDescent="0.3">
      <c r="Z559" s="22"/>
      <c r="AA559" s="22"/>
    </row>
    <row r="560" spans="26:27" x14ac:dyDescent="0.3">
      <c r="Z560" s="22"/>
      <c r="AA560" s="22"/>
    </row>
    <row r="561" spans="26:27" x14ac:dyDescent="0.3">
      <c r="Z561" s="22"/>
      <c r="AA561" s="22"/>
    </row>
    <row r="562" spans="26:27" x14ac:dyDescent="0.3">
      <c r="Z562" s="22"/>
      <c r="AA562" s="22"/>
    </row>
    <row r="563" spans="26:27" x14ac:dyDescent="0.3">
      <c r="Z563" s="22"/>
      <c r="AA563" s="22"/>
    </row>
    <row r="564" spans="26:27" x14ac:dyDescent="0.3">
      <c r="Z564" s="22"/>
      <c r="AA564" s="22"/>
    </row>
    <row r="565" spans="26:27" x14ac:dyDescent="0.3">
      <c r="Z565" s="22"/>
      <c r="AA565" s="22"/>
    </row>
    <row r="566" spans="26:27" x14ac:dyDescent="0.3">
      <c r="Z566" s="22"/>
      <c r="AA566" s="22"/>
    </row>
    <row r="567" spans="26:27" x14ac:dyDescent="0.3">
      <c r="Z567" s="22"/>
      <c r="AA567" s="22"/>
    </row>
    <row r="568" spans="26:27" x14ac:dyDescent="0.3">
      <c r="Z568" s="22"/>
      <c r="AA568" s="22"/>
    </row>
    <row r="569" spans="26:27" x14ac:dyDescent="0.3">
      <c r="Z569" s="22"/>
      <c r="AA569" s="22"/>
    </row>
    <row r="570" spans="26:27" x14ac:dyDescent="0.3">
      <c r="Z570" s="22"/>
      <c r="AA570" s="22"/>
    </row>
    <row r="571" spans="26:27" x14ac:dyDescent="0.3">
      <c r="Z571" s="22"/>
      <c r="AA571" s="22"/>
    </row>
    <row r="572" spans="26:27" x14ac:dyDescent="0.3">
      <c r="Z572" s="22"/>
      <c r="AA572" s="22"/>
    </row>
    <row r="573" spans="26:27" x14ac:dyDescent="0.3">
      <c r="Z573" s="22"/>
      <c r="AA573" s="22"/>
    </row>
    <row r="574" spans="26:27" x14ac:dyDescent="0.3">
      <c r="Z574" s="22"/>
      <c r="AA574" s="22"/>
    </row>
    <row r="575" spans="26:27" x14ac:dyDescent="0.3">
      <c r="Z575" s="22"/>
      <c r="AA575" s="22"/>
    </row>
    <row r="576" spans="26:27" x14ac:dyDescent="0.3">
      <c r="Z576" s="22"/>
      <c r="AA576" s="22"/>
    </row>
    <row r="577" spans="26:27" x14ac:dyDescent="0.3">
      <c r="Z577" s="22"/>
      <c r="AA577" s="22"/>
    </row>
    <row r="578" spans="26:27" x14ac:dyDescent="0.3">
      <c r="Z578" s="22"/>
      <c r="AA578" s="22"/>
    </row>
    <row r="579" spans="26:27" x14ac:dyDescent="0.3">
      <c r="Z579" s="22"/>
      <c r="AA579" s="22"/>
    </row>
    <row r="580" spans="26:27" x14ac:dyDescent="0.3">
      <c r="Z580" s="22"/>
      <c r="AA580" s="22"/>
    </row>
    <row r="581" spans="26:27" x14ac:dyDescent="0.3">
      <c r="Z581" s="22"/>
      <c r="AA581" s="22"/>
    </row>
    <row r="582" spans="26:27" x14ac:dyDescent="0.3">
      <c r="Z582" s="22"/>
      <c r="AA582" s="22"/>
    </row>
    <row r="583" spans="26:27" x14ac:dyDescent="0.3">
      <c r="Z583" s="22"/>
      <c r="AA583" s="22"/>
    </row>
    <row r="584" spans="26:27" x14ac:dyDescent="0.3">
      <c r="Z584" s="22"/>
      <c r="AA584" s="22"/>
    </row>
    <row r="585" spans="26:27" x14ac:dyDescent="0.3">
      <c r="Z585" s="22"/>
      <c r="AA585" s="22"/>
    </row>
    <row r="586" spans="26:27" x14ac:dyDescent="0.3">
      <c r="Z586" s="22"/>
      <c r="AA586" s="22"/>
    </row>
    <row r="587" spans="26:27" x14ac:dyDescent="0.3">
      <c r="Z587" s="22"/>
      <c r="AA587" s="22"/>
    </row>
    <row r="588" spans="26:27" x14ac:dyDescent="0.3">
      <c r="Z588" s="22"/>
      <c r="AA588" s="22"/>
    </row>
    <row r="589" spans="26:27" x14ac:dyDescent="0.3">
      <c r="Z589" s="22"/>
      <c r="AA589" s="22"/>
    </row>
    <row r="590" spans="26:27" x14ac:dyDescent="0.3">
      <c r="Z590" s="22"/>
      <c r="AA590" s="22"/>
    </row>
    <row r="591" spans="26:27" x14ac:dyDescent="0.3">
      <c r="Z591" s="22"/>
      <c r="AA591" s="22"/>
    </row>
    <row r="592" spans="26:27" x14ac:dyDescent="0.3">
      <c r="Z592" s="22"/>
      <c r="AA592" s="22"/>
    </row>
    <row r="593" spans="26:27" x14ac:dyDescent="0.3">
      <c r="Z593" s="22"/>
      <c r="AA593" s="22"/>
    </row>
    <row r="594" spans="26:27" x14ac:dyDescent="0.3">
      <c r="Z594" s="22"/>
      <c r="AA594" s="22"/>
    </row>
    <row r="595" spans="26:27" x14ac:dyDescent="0.3">
      <c r="Z595" s="22"/>
      <c r="AA595" s="22"/>
    </row>
    <row r="596" spans="26:27" x14ac:dyDescent="0.3">
      <c r="Z596" s="22"/>
      <c r="AA596" s="22"/>
    </row>
    <row r="597" spans="26:27" x14ac:dyDescent="0.3">
      <c r="Z597" s="22"/>
      <c r="AA597" s="22"/>
    </row>
    <row r="598" spans="26:27" x14ac:dyDescent="0.3">
      <c r="Z598" s="22"/>
      <c r="AA598" s="22"/>
    </row>
    <row r="599" spans="26:27" x14ac:dyDescent="0.3">
      <c r="Z599" s="22"/>
      <c r="AA599" s="22"/>
    </row>
    <row r="600" spans="26:27" x14ac:dyDescent="0.3">
      <c r="Z600" s="22"/>
      <c r="AA600" s="22"/>
    </row>
    <row r="601" spans="26:27" x14ac:dyDescent="0.3">
      <c r="Z601" s="22"/>
      <c r="AA601" s="22"/>
    </row>
    <row r="602" spans="26:27" x14ac:dyDescent="0.3">
      <c r="Z602" s="22"/>
      <c r="AA602" s="22"/>
    </row>
    <row r="603" spans="26:27" x14ac:dyDescent="0.3">
      <c r="Z603" s="22"/>
      <c r="AA603" s="22"/>
    </row>
    <row r="604" spans="26:27" x14ac:dyDescent="0.3">
      <c r="Z604" s="22"/>
      <c r="AA604" s="22"/>
    </row>
    <row r="605" spans="26:27" x14ac:dyDescent="0.3">
      <c r="Z605" s="22"/>
      <c r="AA605" s="22"/>
    </row>
    <row r="606" spans="26:27" x14ac:dyDescent="0.3">
      <c r="Z606" s="22"/>
      <c r="AA606" s="22"/>
    </row>
    <row r="607" spans="26:27" x14ac:dyDescent="0.3">
      <c r="Z607" s="22"/>
      <c r="AA607" s="22"/>
    </row>
    <row r="608" spans="26:27" x14ac:dyDescent="0.3">
      <c r="Z608" s="22"/>
      <c r="AA608" s="22"/>
    </row>
    <row r="609" spans="26:27" x14ac:dyDescent="0.3">
      <c r="Z609" s="22"/>
      <c r="AA609" s="22"/>
    </row>
    <row r="610" spans="26:27" x14ac:dyDescent="0.3">
      <c r="Z610" s="22"/>
      <c r="AA610" s="22"/>
    </row>
    <row r="611" spans="26:27" x14ac:dyDescent="0.3">
      <c r="Z611" s="22"/>
      <c r="AA611" s="22"/>
    </row>
    <row r="612" spans="26:27" x14ac:dyDescent="0.3">
      <c r="Z612" s="22"/>
      <c r="AA612" s="22"/>
    </row>
    <row r="613" spans="26:27" x14ac:dyDescent="0.3">
      <c r="Z613" s="22"/>
      <c r="AA613" s="22"/>
    </row>
    <row r="614" spans="26:27" x14ac:dyDescent="0.3">
      <c r="Z614" s="22"/>
      <c r="AA614" s="22"/>
    </row>
    <row r="615" spans="26:27" x14ac:dyDescent="0.3">
      <c r="Z615" s="22"/>
      <c r="AA615" s="22"/>
    </row>
    <row r="616" spans="26:27" x14ac:dyDescent="0.3">
      <c r="Z616" s="22"/>
      <c r="AA616" s="22"/>
    </row>
    <row r="617" spans="26:27" x14ac:dyDescent="0.3">
      <c r="Z617" s="22"/>
      <c r="AA617" s="22"/>
    </row>
    <row r="618" spans="26:27" x14ac:dyDescent="0.3">
      <c r="Z618" s="22"/>
      <c r="AA618" s="22"/>
    </row>
    <row r="619" spans="26:27" x14ac:dyDescent="0.3">
      <c r="Z619" s="22"/>
      <c r="AA619" s="22"/>
    </row>
    <row r="620" spans="26:27" x14ac:dyDescent="0.3">
      <c r="Z620" s="22"/>
      <c r="AA620" s="22"/>
    </row>
    <row r="621" spans="26:27" x14ac:dyDescent="0.3">
      <c r="Z621" s="22"/>
      <c r="AA621" s="22"/>
    </row>
    <row r="622" spans="26:27" x14ac:dyDescent="0.3">
      <c r="Z622" s="22"/>
      <c r="AA622" s="22"/>
    </row>
    <row r="623" spans="26:27" x14ac:dyDescent="0.3">
      <c r="Z623" s="22"/>
      <c r="AA623" s="22"/>
    </row>
    <row r="624" spans="26:27" x14ac:dyDescent="0.3">
      <c r="Z624" s="22"/>
      <c r="AA624" s="22"/>
    </row>
    <row r="625" spans="26:27" x14ac:dyDescent="0.3">
      <c r="Z625" s="22"/>
      <c r="AA625" s="22"/>
    </row>
    <row r="626" spans="26:27" x14ac:dyDescent="0.3">
      <c r="Z626" s="22"/>
      <c r="AA626" s="22"/>
    </row>
    <row r="627" spans="26:27" x14ac:dyDescent="0.3">
      <c r="Z627" s="22"/>
      <c r="AA627" s="22"/>
    </row>
    <row r="628" spans="26:27" x14ac:dyDescent="0.3">
      <c r="Z628" s="22"/>
      <c r="AA628" s="22"/>
    </row>
    <row r="629" spans="26:27" x14ac:dyDescent="0.3">
      <c r="Z629" s="22"/>
      <c r="AA629" s="22"/>
    </row>
    <row r="630" spans="26:27" x14ac:dyDescent="0.3">
      <c r="Z630" s="22"/>
      <c r="AA630" s="22"/>
    </row>
    <row r="631" spans="26:27" x14ac:dyDescent="0.3">
      <c r="Z631" s="22"/>
      <c r="AA631" s="22"/>
    </row>
    <row r="632" spans="26:27" x14ac:dyDescent="0.3">
      <c r="Z632" s="22"/>
      <c r="AA632" s="22"/>
    </row>
    <row r="633" spans="26:27" x14ac:dyDescent="0.3">
      <c r="Z633" s="22"/>
      <c r="AA633" s="22"/>
    </row>
    <row r="634" spans="26:27" x14ac:dyDescent="0.3">
      <c r="Z634" s="22"/>
      <c r="AA634" s="22"/>
    </row>
    <row r="635" spans="26:27" x14ac:dyDescent="0.3">
      <c r="Z635" s="22"/>
      <c r="AA635" s="22"/>
    </row>
    <row r="636" spans="26:27" x14ac:dyDescent="0.3">
      <c r="Z636" s="22"/>
      <c r="AA636" s="22"/>
    </row>
    <row r="637" spans="26:27" x14ac:dyDescent="0.3">
      <c r="Z637" s="22"/>
      <c r="AA637" s="22"/>
    </row>
    <row r="638" spans="26:27" x14ac:dyDescent="0.3">
      <c r="Z638" s="22"/>
      <c r="AA638" s="22"/>
    </row>
    <row r="639" spans="26:27" x14ac:dyDescent="0.3">
      <c r="Z639" s="22"/>
      <c r="AA639" s="22"/>
    </row>
    <row r="640" spans="26:27" x14ac:dyDescent="0.3">
      <c r="Z640" s="22"/>
      <c r="AA640" s="22"/>
    </row>
    <row r="641" spans="26:27" x14ac:dyDescent="0.3">
      <c r="Z641" s="22"/>
      <c r="AA641" s="22"/>
    </row>
    <row r="642" spans="26:27" x14ac:dyDescent="0.3">
      <c r="Z642" s="22"/>
      <c r="AA642" s="22"/>
    </row>
    <row r="643" spans="26:27" x14ac:dyDescent="0.3">
      <c r="Z643" s="22"/>
      <c r="AA643" s="22"/>
    </row>
    <row r="644" spans="26:27" x14ac:dyDescent="0.3">
      <c r="Z644" s="22"/>
      <c r="AA644" s="22"/>
    </row>
    <row r="645" spans="26:27" x14ac:dyDescent="0.3">
      <c r="Z645" s="22"/>
      <c r="AA645" s="22"/>
    </row>
    <row r="646" spans="26:27" x14ac:dyDescent="0.3">
      <c r="Z646" s="22"/>
      <c r="AA646" s="22"/>
    </row>
    <row r="647" spans="26:27" x14ac:dyDescent="0.3">
      <c r="Z647" s="22"/>
      <c r="AA647" s="22"/>
    </row>
    <row r="648" spans="26:27" x14ac:dyDescent="0.3">
      <c r="Z648" s="22"/>
      <c r="AA648" s="22"/>
    </row>
    <row r="649" spans="26:27" x14ac:dyDescent="0.3">
      <c r="Z649" s="22"/>
      <c r="AA649" s="22"/>
    </row>
    <row r="650" spans="26:27" x14ac:dyDescent="0.3">
      <c r="Z650" s="22"/>
      <c r="AA650" s="22"/>
    </row>
    <row r="651" spans="26:27" x14ac:dyDescent="0.3">
      <c r="Z651" s="22"/>
      <c r="AA651" s="22"/>
    </row>
    <row r="652" spans="26:27" x14ac:dyDescent="0.3">
      <c r="Z652" s="22"/>
      <c r="AA652" s="22"/>
    </row>
    <row r="653" spans="26:27" x14ac:dyDescent="0.3">
      <c r="Z653" s="22"/>
      <c r="AA653" s="22"/>
    </row>
    <row r="654" spans="26:27" x14ac:dyDescent="0.3">
      <c r="Z654" s="22"/>
      <c r="AA654" s="22"/>
    </row>
    <row r="655" spans="26:27" x14ac:dyDescent="0.3">
      <c r="Z655" s="22"/>
      <c r="AA655" s="22"/>
    </row>
    <row r="656" spans="26:27" x14ac:dyDescent="0.3">
      <c r="Z656" s="22"/>
      <c r="AA656" s="22"/>
    </row>
    <row r="657" spans="26:27" x14ac:dyDescent="0.3">
      <c r="Z657" s="22"/>
      <c r="AA657" s="22"/>
    </row>
    <row r="658" spans="26:27" x14ac:dyDescent="0.3">
      <c r="Z658" s="22"/>
      <c r="AA658" s="22"/>
    </row>
    <row r="659" spans="26:27" x14ac:dyDescent="0.3">
      <c r="Z659" s="22"/>
      <c r="AA659" s="22"/>
    </row>
    <row r="660" spans="26:27" x14ac:dyDescent="0.3">
      <c r="Z660" s="22"/>
      <c r="AA660" s="22"/>
    </row>
    <row r="661" spans="26:27" x14ac:dyDescent="0.3">
      <c r="Z661" s="22"/>
      <c r="AA661" s="22"/>
    </row>
    <row r="662" spans="26:27" x14ac:dyDescent="0.3">
      <c r="Z662" s="22"/>
      <c r="AA662" s="22"/>
    </row>
    <row r="663" spans="26:27" x14ac:dyDescent="0.3">
      <c r="Z663" s="22"/>
      <c r="AA663" s="22"/>
    </row>
    <row r="664" spans="26:27" x14ac:dyDescent="0.3">
      <c r="Z664" s="22"/>
      <c r="AA664" s="22"/>
    </row>
    <row r="665" spans="26:27" x14ac:dyDescent="0.3">
      <c r="Z665" s="22"/>
      <c r="AA665" s="22"/>
    </row>
    <row r="666" spans="26:27" x14ac:dyDescent="0.3">
      <c r="Z666" s="22"/>
      <c r="AA666" s="22"/>
    </row>
    <row r="667" spans="26:27" x14ac:dyDescent="0.3">
      <c r="Z667" s="22"/>
      <c r="AA667" s="22"/>
    </row>
    <row r="668" spans="26:27" x14ac:dyDescent="0.3">
      <c r="Z668" s="22"/>
      <c r="AA668" s="22"/>
    </row>
    <row r="669" spans="26:27" x14ac:dyDescent="0.3">
      <c r="Z669" s="22"/>
      <c r="AA669" s="22"/>
    </row>
    <row r="670" spans="26:27" x14ac:dyDescent="0.3">
      <c r="Z670" s="22"/>
      <c r="AA670" s="22"/>
    </row>
    <row r="671" spans="26:27" x14ac:dyDescent="0.3">
      <c r="Z671" s="22"/>
      <c r="AA671" s="22"/>
    </row>
    <row r="672" spans="26:27" x14ac:dyDescent="0.3">
      <c r="Z672" s="22"/>
      <c r="AA672" s="22"/>
    </row>
    <row r="673" spans="26:27" x14ac:dyDescent="0.3">
      <c r="Z673" s="22"/>
      <c r="AA673" s="22"/>
    </row>
    <row r="674" spans="26:27" x14ac:dyDescent="0.3">
      <c r="Z674" s="22"/>
      <c r="AA674" s="22"/>
    </row>
    <row r="675" spans="26:27" x14ac:dyDescent="0.3">
      <c r="Z675" s="22"/>
      <c r="AA675" s="22"/>
    </row>
    <row r="676" spans="26:27" x14ac:dyDescent="0.3">
      <c r="Z676" s="22"/>
      <c r="AA676" s="22"/>
    </row>
    <row r="677" spans="26:27" x14ac:dyDescent="0.3">
      <c r="Z677" s="22"/>
      <c r="AA677" s="22"/>
    </row>
    <row r="678" spans="26:27" x14ac:dyDescent="0.3">
      <c r="Z678" s="22"/>
      <c r="AA678" s="22"/>
    </row>
    <row r="679" spans="26:27" x14ac:dyDescent="0.3">
      <c r="Z679" s="22"/>
      <c r="AA679" s="22"/>
    </row>
    <row r="680" spans="26:27" x14ac:dyDescent="0.3">
      <c r="Z680" s="22"/>
      <c r="AA680" s="22"/>
    </row>
    <row r="681" spans="26:27" x14ac:dyDescent="0.3">
      <c r="Z681" s="22"/>
      <c r="AA681" s="22"/>
    </row>
    <row r="682" spans="26:27" x14ac:dyDescent="0.3">
      <c r="Z682" s="22"/>
      <c r="AA682" s="22"/>
    </row>
    <row r="683" spans="26:27" x14ac:dyDescent="0.3">
      <c r="Z683" s="22"/>
      <c r="AA683" s="22"/>
    </row>
    <row r="684" spans="26:27" x14ac:dyDescent="0.3">
      <c r="Z684" s="22"/>
      <c r="AA684" s="22"/>
    </row>
    <row r="685" spans="26:27" x14ac:dyDescent="0.3">
      <c r="Z685" s="22"/>
      <c r="AA685" s="22"/>
    </row>
    <row r="686" spans="26:27" x14ac:dyDescent="0.3">
      <c r="Z686" s="22"/>
      <c r="AA686" s="22"/>
    </row>
    <row r="687" spans="26:27" x14ac:dyDescent="0.3">
      <c r="Z687" s="22"/>
      <c r="AA687" s="22"/>
    </row>
    <row r="688" spans="26:27" x14ac:dyDescent="0.3">
      <c r="Z688" s="22"/>
      <c r="AA688" s="22"/>
    </row>
    <row r="689" spans="26:27" x14ac:dyDescent="0.3">
      <c r="Z689" s="22"/>
      <c r="AA689" s="22"/>
    </row>
    <row r="690" spans="26:27" x14ac:dyDescent="0.3">
      <c r="Z690" s="22"/>
      <c r="AA690" s="22"/>
    </row>
    <row r="691" spans="26:27" x14ac:dyDescent="0.3">
      <c r="Z691" s="22"/>
      <c r="AA691" s="22"/>
    </row>
    <row r="692" spans="26:27" x14ac:dyDescent="0.3">
      <c r="Z692" s="22"/>
      <c r="AA692" s="22"/>
    </row>
    <row r="693" spans="26:27" x14ac:dyDescent="0.3">
      <c r="Z693" s="22"/>
      <c r="AA693" s="22"/>
    </row>
    <row r="694" spans="26:27" x14ac:dyDescent="0.3">
      <c r="Z694" s="22"/>
      <c r="AA694" s="22"/>
    </row>
    <row r="695" spans="26:27" x14ac:dyDescent="0.3">
      <c r="Z695" s="22"/>
      <c r="AA695" s="22"/>
    </row>
    <row r="696" spans="26:27" x14ac:dyDescent="0.3">
      <c r="Z696" s="22"/>
      <c r="AA696" s="22"/>
    </row>
    <row r="697" spans="26:27" x14ac:dyDescent="0.3">
      <c r="Z697" s="22"/>
      <c r="AA697" s="22"/>
    </row>
    <row r="698" spans="26:27" x14ac:dyDescent="0.3">
      <c r="Z698" s="22"/>
      <c r="AA698" s="22"/>
    </row>
    <row r="699" spans="26:27" x14ac:dyDescent="0.3">
      <c r="Z699" s="22"/>
      <c r="AA699" s="22"/>
    </row>
    <row r="700" spans="26:27" x14ac:dyDescent="0.3">
      <c r="Z700" s="22"/>
      <c r="AA700" s="22"/>
    </row>
    <row r="701" spans="26:27" x14ac:dyDescent="0.3">
      <c r="Z701" s="22"/>
      <c r="AA701" s="22"/>
    </row>
    <row r="702" spans="26:27" x14ac:dyDescent="0.3">
      <c r="Z702" s="22"/>
      <c r="AA702" s="22"/>
    </row>
    <row r="703" spans="26:27" x14ac:dyDescent="0.3">
      <c r="Z703" s="22"/>
      <c r="AA703" s="22"/>
    </row>
    <row r="704" spans="26:27" x14ac:dyDescent="0.3">
      <c r="Z704" s="22"/>
      <c r="AA704" s="22"/>
    </row>
    <row r="705" spans="26:27" x14ac:dyDescent="0.3">
      <c r="Z705" s="22"/>
      <c r="AA705" s="22"/>
    </row>
    <row r="706" spans="26:27" x14ac:dyDescent="0.3">
      <c r="Z706" s="22"/>
      <c r="AA706" s="22"/>
    </row>
    <row r="707" spans="26:27" x14ac:dyDescent="0.3">
      <c r="Z707" s="22"/>
      <c r="AA707" s="22"/>
    </row>
    <row r="708" spans="26:27" x14ac:dyDescent="0.3">
      <c r="Z708" s="22"/>
      <c r="AA708" s="22"/>
    </row>
    <row r="709" spans="26:27" x14ac:dyDescent="0.3">
      <c r="Z709" s="22"/>
      <c r="AA709" s="22"/>
    </row>
    <row r="710" spans="26:27" x14ac:dyDescent="0.3">
      <c r="Z710" s="22"/>
      <c r="AA710" s="22"/>
    </row>
    <row r="711" spans="26:27" x14ac:dyDescent="0.3">
      <c r="Z711" s="22"/>
      <c r="AA711" s="22"/>
    </row>
    <row r="712" spans="26:27" x14ac:dyDescent="0.3">
      <c r="Z712" s="22"/>
      <c r="AA712" s="22"/>
    </row>
    <row r="713" spans="26:27" x14ac:dyDescent="0.3">
      <c r="Z713" s="22"/>
      <c r="AA713" s="22"/>
    </row>
    <row r="714" spans="26:27" x14ac:dyDescent="0.3">
      <c r="Z714" s="22"/>
      <c r="AA714" s="22"/>
    </row>
    <row r="715" spans="26:27" x14ac:dyDescent="0.3">
      <c r="Z715" s="22"/>
      <c r="AA715" s="22"/>
    </row>
    <row r="716" spans="26:27" x14ac:dyDescent="0.3">
      <c r="Z716" s="22"/>
      <c r="AA716" s="22"/>
    </row>
    <row r="717" spans="26:27" x14ac:dyDescent="0.3">
      <c r="Z717" s="22"/>
      <c r="AA717" s="22"/>
    </row>
    <row r="718" spans="26:27" x14ac:dyDescent="0.3">
      <c r="Z718" s="22"/>
      <c r="AA718" s="22"/>
    </row>
    <row r="719" spans="26:27" x14ac:dyDescent="0.3">
      <c r="Z719" s="22"/>
      <c r="AA719" s="22"/>
    </row>
    <row r="720" spans="26:27" x14ac:dyDescent="0.3">
      <c r="Z720" s="22"/>
      <c r="AA720" s="22"/>
    </row>
    <row r="721" spans="26:27" x14ac:dyDescent="0.3">
      <c r="Z721" s="22"/>
      <c r="AA721" s="22"/>
    </row>
    <row r="722" spans="26:27" x14ac:dyDescent="0.3">
      <c r="Z722" s="22"/>
      <c r="AA722" s="22"/>
    </row>
    <row r="723" spans="26:27" x14ac:dyDescent="0.3">
      <c r="Z723" s="22"/>
      <c r="AA723" s="22"/>
    </row>
    <row r="724" spans="26:27" x14ac:dyDescent="0.3">
      <c r="Z724" s="22"/>
      <c r="AA724" s="22"/>
    </row>
    <row r="725" spans="26:27" x14ac:dyDescent="0.3">
      <c r="Z725" s="22"/>
      <c r="AA725" s="22"/>
    </row>
    <row r="726" spans="26:27" x14ac:dyDescent="0.3">
      <c r="Z726" s="22"/>
      <c r="AA726" s="22"/>
    </row>
    <row r="727" spans="26:27" x14ac:dyDescent="0.3">
      <c r="Z727" s="22"/>
      <c r="AA727" s="22"/>
    </row>
    <row r="728" spans="26:27" x14ac:dyDescent="0.3">
      <c r="Z728" s="22"/>
      <c r="AA728" s="22"/>
    </row>
    <row r="729" spans="26:27" x14ac:dyDescent="0.3">
      <c r="Z729" s="22"/>
      <c r="AA729" s="22"/>
    </row>
    <row r="730" spans="26:27" x14ac:dyDescent="0.3">
      <c r="Z730" s="22"/>
      <c r="AA730" s="22"/>
    </row>
    <row r="731" spans="26:27" x14ac:dyDescent="0.3">
      <c r="Z731" s="22"/>
      <c r="AA731" s="22"/>
    </row>
    <row r="732" spans="26:27" x14ac:dyDescent="0.3">
      <c r="Z732" s="22"/>
      <c r="AA732" s="22"/>
    </row>
    <row r="733" spans="26:27" x14ac:dyDescent="0.3">
      <c r="Z733" s="22"/>
      <c r="AA733" s="22"/>
    </row>
    <row r="734" spans="26:27" x14ac:dyDescent="0.3">
      <c r="Z734" s="22"/>
      <c r="AA734" s="22"/>
    </row>
    <row r="735" spans="26:27" x14ac:dyDescent="0.3">
      <c r="Z735" s="22"/>
      <c r="AA735" s="22"/>
    </row>
    <row r="736" spans="26:27" x14ac:dyDescent="0.3">
      <c r="Z736" s="22"/>
      <c r="AA736" s="22"/>
    </row>
    <row r="737" spans="26:27" x14ac:dyDescent="0.3">
      <c r="Z737" s="22"/>
      <c r="AA737" s="22"/>
    </row>
    <row r="738" spans="26:27" x14ac:dyDescent="0.3">
      <c r="Z738" s="22"/>
      <c r="AA738" s="22"/>
    </row>
    <row r="739" spans="26:27" x14ac:dyDescent="0.3">
      <c r="Z739" s="22"/>
      <c r="AA739" s="22"/>
    </row>
    <row r="740" spans="26:27" x14ac:dyDescent="0.3">
      <c r="Z740" s="22"/>
      <c r="AA740" s="22"/>
    </row>
    <row r="741" spans="26:27" x14ac:dyDescent="0.3">
      <c r="Z741" s="22"/>
      <c r="AA741" s="22"/>
    </row>
    <row r="742" spans="26:27" x14ac:dyDescent="0.3">
      <c r="Z742" s="22"/>
      <c r="AA742" s="22"/>
    </row>
    <row r="743" spans="26:27" x14ac:dyDescent="0.3">
      <c r="Z743" s="22"/>
      <c r="AA743" s="22"/>
    </row>
    <row r="744" spans="26:27" x14ac:dyDescent="0.3">
      <c r="Z744" s="22"/>
      <c r="AA744" s="22"/>
    </row>
    <row r="745" spans="26:27" x14ac:dyDescent="0.3">
      <c r="Z745" s="22"/>
      <c r="AA745" s="22"/>
    </row>
    <row r="746" spans="26:27" x14ac:dyDescent="0.3">
      <c r="Z746" s="22"/>
      <c r="AA746" s="22"/>
    </row>
    <row r="747" spans="26:27" x14ac:dyDescent="0.3">
      <c r="Z747" s="22"/>
      <c r="AA747" s="22"/>
    </row>
    <row r="748" spans="26:27" x14ac:dyDescent="0.3">
      <c r="Z748" s="22"/>
      <c r="AA748" s="22"/>
    </row>
    <row r="749" spans="26:27" x14ac:dyDescent="0.3">
      <c r="Z749" s="22"/>
      <c r="AA749" s="22"/>
    </row>
    <row r="750" spans="26:27" x14ac:dyDescent="0.3">
      <c r="Z750" s="22"/>
      <c r="AA750" s="22"/>
    </row>
    <row r="751" spans="26:27" x14ac:dyDescent="0.3">
      <c r="Z751" s="22"/>
      <c r="AA751" s="22"/>
    </row>
    <row r="752" spans="26:27" x14ac:dyDescent="0.3">
      <c r="Z752" s="22"/>
      <c r="AA752" s="22"/>
    </row>
    <row r="753" spans="26:27" x14ac:dyDescent="0.3">
      <c r="Z753" s="22"/>
      <c r="AA753" s="22"/>
    </row>
    <row r="754" spans="26:27" x14ac:dyDescent="0.3">
      <c r="Z754" s="22"/>
      <c r="AA754" s="22"/>
    </row>
    <row r="755" spans="26:27" x14ac:dyDescent="0.3">
      <c r="Z755" s="22"/>
      <c r="AA755" s="22"/>
    </row>
    <row r="756" spans="26:27" x14ac:dyDescent="0.3">
      <c r="Z756" s="22"/>
      <c r="AA756" s="22"/>
    </row>
    <row r="757" spans="26:27" x14ac:dyDescent="0.3">
      <c r="Z757" s="22"/>
      <c r="AA757" s="22"/>
    </row>
    <row r="758" spans="26:27" x14ac:dyDescent="0.3">
      <c r="Z758" s="22"/>
      <c r="AA758" s="22"/>
    </row>
    <row r="759" spans="26:27" x14ac:dyDescent="0.3">
      <c r="Z759" s="22"/>
      <c r="AA759" s="22"/>
    </row>
    <row r="760" spans="26:27" x14ac:dyDescent="0.3">
      <c r="Z760" s="22"/>
      <c r="AA760" s="22"/>
    </row>
    <row r="761" spans="26:27" x14ac:dyDescent="0.3">
      <c r="Z761" s="22"/>
      <c r="AA761" s="22"/>
    </row>
    <row r="762" spans="26:27" x14ac:dyDescent="0.3">
      <c r="Z762" s="22"/>
      <c r="AA762" s="22"/>
    </row>
    <row r="763" spans="26:27" x14ac:dyDescent="0.3">
      <c r="Z763" s="22"/>
      <c r="AA763" s="22"/>
    </row>
    <row r="764" spans="26:27" x14ac:dyDescent="0.3">
      <c r="Z764" s="22"/>
      <c r="AA764" s="22"/>
    </row>
    <row r="765" spans="26:27" x14ac:dyDescent="0.3">
      <c r="Z765" s="22"/>
      <c r="AA765" s="22"/>
    </row>
    <row r="766" spans="26:27" x14ac:dyDescent="0.3">
      <c r="Z766" s="22"/>
      <c r="AA766" s="22"/>
    </row>
    <row r="767" spans="26:27" x14ac:dyDescent="0.3">
      <c r="Z767" s="22"/>
      <c r="AA767" s="22"/>
    </row>
    <row r="768" spans="26:27" x14ac:dyDescent="0.3">
      <c r="Z768" s="22"/>
      <c r="AA768" s="22"/>
    </row>
    <row r="769" spans="26:27" x14ac:dyDescent="0.3">
      <c r="Z769" s="22"/>
      <c r="AA769" s="22"/>
    </row>
    <row r="770" spans="26:27" x14ac:dyDescent="0.3">
      <c r="Z770" s="22"/>
      <c r="AA770" s="22"/>
    </row>
    <row r="771" spans="26:27" x14ac:dyDescent="0.3">
      <c r="Z771" s="22"/>
      <c r="AA771" s="22"/>
    </row>
    <row r="772" spans="26:27" x14ac:dyDescent="0.3">
      <c r="Z772" s="22"/>
      <c r="AA772" s="22"/>
    </row>
    <row r="773" spans="26:27" x14ac:dyDescent="0.3">
      <c r="Z773" s="22"/>
      <c r="AA773" s="22"/>
    </row>
    <row r="774" spans="26:27" x14ac:dyDescent="0.3">
      <c r="Z774" s="22"/>
      <c r="AA774" s="22"/>
    </row>
    <row r="775" spans="26:27" x14ac:dyDescent="0.3">
      <c r="Z775" s="22"/>
      <c r="AA775" s="22"/>
    </row>
    <row r="776" spans="26:27" x14ac:dyDescent="0.3">
      <c r="Z776" s="22"/>
      <c r="AA776" s="22"/>
    </row>
    <row r="777" spans="26:27" x14ac:dyDescent="0.3">
      <c r="Z777" s="22"/>
      <c r="AA777" s="22"/>
    </row>
    <row r="778" spans="26:27" x14ac:dyDescent="0.3">
      <c r="Z778" s="22"/>
      <c r="AA778" s="22"/>
    </row>
    <row r="779" spans="26:27" x14ac:dyDescent="0.3">
      <c r="Z779" s="22"/>
      <c r="AA779" s="22"/>
    </row>
    <row r="780" spans="26:27" x14ac:dyDescent="0.3">
      <c r="Z780" s="22"/>
      <c r="AA780" s="22"/>
    </row>
    <row r="781" spans="26:27" x14ac:dyDescent="0.3">
      <c r="Z781" s="22"/>
      <c r="AA781" s="22"/>
    </row>
    <row r="782" spans="26:27" x14ac:dyDescent="0.3">
      <c r="Z782" s="22"/>
      <c r="AA782" s="22"/>
    </row>
    <row r="783" spans="26:27" x14ac:dyDescent="0.3">
      <c r="Z783" s="22"/>
      <c r="AA783" s="22"/>
    </row>
    <row r="784" spans="26:27" x14ac:dyDescent="0.3">
      <c r="Z784" s="22"/>
      <c r="AA784" s="22"/>
    </row>
    <row r="785" spans="26:27" x14ac:dyDescent="0.3">
      <c r="Z785" s="22"/>
      <c r="AA785" s="22"/>
    </row>
    <row r="786" spans="26:27" x14ac:dyDescent="0.3">
      <c r="Z786" s="22"/>
      <c r="AA786" s="22"/>
    </row>
    <row r="787" spans="26:27" x14ac:dyDescent="0.3">
      <c r="Z787" s="22"/>
      <c r="AA787" s="22"/>
    </row>
    <row r="788" spans="26:27" x14ac:dyDescent="0.3">
      <c r="Z788" s="22"/>
      <c r="AA788" s="22"/>
    </row>
    <row r="789" spans="26:27" x14ac:dyDescent="0.3">
      <c r="Z789" s="22"/>
      <c r="AA789" s="22"/>
    </row>
    <row r="790" spans="26:27" x14ac:dyDescent="0.3">
      <c r="Z790" s="22"/>
      <c r="AA790" s="22"/>
    </row>
    <row r="791" spans="26:27" x14ac:dyDescent="0.3">
      <c r="Z791" s="22"/>
      <c r="AA791" s="22"/>
    </row>
    <row r="792" spans="26:27" x14ac:dyDescent="0.3">
      <c r="Z792" s="22"/>
      <c r="AA792" s="22"/>
    </row>
    <row r="793" spans="26:27" x14ac:dyDescent="0.3">
      <c r="Z793" s="22"/>
      <c r="AA793" s="22"/>
    </row>
    <row r="794" spans="26:27" x14ac:dyDescent="0.3">
      <c r="Z794" s="22"/>
      <c r="AA794" s="22"/>
    </row>
    <row r="795" spans="26:27" x14ac:dyDescent="0.3">
      <c r="Z795" s="22"/>
      <c r="AA795" s="22"/>
    </row>
    <row r="796" spans="26:27" x14ac:dyDescent="0.3">
      <c r="Z796" s="22"/>
      <c r="AA796" s="22"/>
    </row>
    <row r="797" spans="26:27" x14ac:dyDescent="0.3">
      <c r="Z797" s="22"/>
      <c r="AA797" s="22"/>
    </row>
    <row r="798" spans="26:27" x14ac:dyDescent="0.3">
      <c r="Z798" s="22"/>
      <c r="AA798" s="22"/>
    </row>
    <row r="799" spans="26:27" x14ac:dyDescent="0.3">
      <c r="Z799" s="22"/>
      <c r="AA799" s="22"/>
    </row>
    <row r="800" spans="26:27" x14ac:dyDescent="0.3">
      <c r="Z800" s="22"/>
      <c r="AA800" s="22"/>
    </row>
    <row r="801" spans="26:27" x14ac:dyDescent="0.3">
      <c r="Z801" s="22"/>
      <c r="AA801" s="22"/>
    </row>
    <row r="802" spans="26:27" x14ac:dyDescent="0.3">
      <c r="Z802" s="22"/>
      <c r="AA802" s="22"/>
    </row>
    <row r="803" spans="26:27" x14ac:dyDescent="0.3">
      <c r="Z803" s="22"/>
      <c r="AA803" s="22"/>
    </row>
    <row r="804" spans="26:27" x14ac:dyDescent="0.3">
      <c r="Z804" s="22"/>
      <c r="AA804" s="22"/>
    </row>
    <row r="805" spans="26:27" x14ac:dyDescent="0.3">
      <c r="Z805" s="22"/>
      <c r="AA805" s="22"/>
    </row>
    <row r="806" spans="26:27" x14ac:dyDescent="0.3">
      <c r="Z806" s="22"/>
      <c r="AA806" s="22"/>
    </row>
    <row r="807" spans="26:27" x14ac:dyDescent="0.3">
      <c r="Z807" s="22"/>
      <c r="AA807" s="22"/>
    </row>
    <row r="808" spans="26:27" x14ac:dyDescent="0.3">
      <c r="Z808" s="22"/>
      <c r="AA808" s="22"/>
    </row>
    <row r="809" spans="26:27" x14ac:dyDescent="0.3">
      <c r="Z809" s="22"/>
      <c r="AA809" s="22"/>
    </row>
    <row r="810" spans="26:27" x14ac:dyDescent="0.3">
      <c r="Z810" s="22"/>
      <c r="AA810" s="22"/>
    </row>
    <row r="811" spans="26:27" x14ac:dyDescent="0.3">
      <c r="Z811" s="22"/>
      <c r="AA811" s="22"/>
    </row>
    <row r="812" spans="26:27" x14ac:dyDescent="0.3">
      <c r="Z812" s="22"/>
      <c r="AA812" s="22"/>
    </row>
    <row r="813" spans="26:27" x14ac:dyDescent="0.3">
      <c r="Z813" s="22"/>
      <c r="AA813" s="22"/>
    </row>
    <row r="814" spans="26:27" x14ac:dyDescent="0.3">
      <c r="Z814" s="22"/>
      <c r="AA814" s="22"/>
    </row>
    <row r="815" spans="26:27" x14ac:dyDescent="0.3">
      <c r="Z815" s="22"/>
      <c r="AA815" s="22"/>
    </row>
    <row r="816" spans="26:27" x14ac:dyDescent="0.3">
      <c r="Z816" s="22"/>
      <c r="AA816" s="22"/>
    </row>
    <row r="817" spans="26:27" x14ac:dyDescent="0.3">
      <c r="Z817" s="22"/>
      <c r="AA817" s="22"/>
    </row>
    <row r="818" spans="26:27" x14ac:dyDescent="0.3">
      <c r="Z818" s="22"/>
      <c r="AA818" s="22"/>
    </row>
    <row r="819" spans="26:27" x14ac:dyDescent="0.3">
      <c r="Z819" s="22"/>
      <c r="AA819" s="22"/>
    </row>
    <row r="820" spans="26:27" x14ac:dyDescent="0.3">
      <c r="Z820" s="22"/>
      <c r="AA820" s="22"/>
    </row>
    <row r="821" spans="26:27" x14ac:dyDescent="0.3">
      <c r="Z821" s="22"/>
      <c r="AA821" s="22"/>
    </row>
    <row r="822" spans="26:27" x14ac:dyDescent="0.3">
      <c r="Z822" s="22"/>
      <c r="AA822" s="22"/>
    </row>
    <row r="823" spans="26:27" x14ac:dyDescent="0.3">
      <c r="Z823" s="22"/>
      <c r="AA823" s="22"/>
    </row>
    <row r="824" spans="26:27" x14ac:dyDescent="0.3">
      <c r="Z824" s="22"/>
      <c r="AA824" s="22"/>
    </row>
    <row r="825" spans="26:27" x14ac:dyDescent="0.3">
      <c r="Z825" s="22"/>
      <c r="AA825" s="22"/>
    </row>
    <row r="826" spans="26:27" x14ac:dyDescent="0.3">
      <c r="Z826" s="22"/>
      <c r="AA826" s="22"/>
    </row>
    <row r="827" spans="26:27" x14ac:dyDescent="0.3">
      <c r="Z827" s="22"/>
      <c r="AA827" s="22"/>
    </row>
    <row r="828" spans="26:27" x14ac:dyDescent="0.3">
      <c r="Z828" s="22"/>
      <c r="AA828" s="22"/>
    </row>
    <row r="829" spans="26:27" x14ac:dyDescent="0.3">
      <c r="Z829" s="22"/>
      <c r="AA829" s="22"/>
    </row>
    <row r="830" spans="26:27" x14ac:dyDescent="0.3">
      <c r="Z830" s="22"/>
      <c r="AA830" s="22"/>
    </row>
    <row r="831" spans="26:27" x14ac:dyDescent="0.3">
      <c r="Z831" s="22"/>
      <c r="AA831" s="22"/>
    </row>
    <row r="832" spans="26:27" x14ac:dyDescent="0.3">
      <c r="Z832" s="22"/>
      <c r="AA832" s="22"/>
    </row>
    <row r="833" spans="26:27" x14ac:dyDescent="0.3">
      <c r="Z833" s="22"/>
      <c r="AA833" s="22"/>
    </row>
    <row r="834" spans="26:27" x14ac:dyDescent="0.3">
      <c r="Z834" s="22"/>
      <c r="AA834" s="22"/>
    </row>
    <row r="835" spans="26:27" x14ac:dyDescent="0.3">
      <c r="Z835" s="22"/>
      <c r="AA835" s="22"/>
    </row>
    <row r="836" spans="26:27" x14ac:dyDescent="0.3">
      <c r="Z836" s="22"/>
      <c r="AA836" s="22"/>
    </row>
    <row r="837" spans="26:27" x14ac:dyDescent="0.3">
      <c r="Z837" s="22"/>
      <c r="AA837" s="22"/>
    </row>
    <row r="838" spans="26:27" x14ac:dyDescent="0.3">
      <c r="Z838" s="22"/>
      <c r="AA838" s="22"/>
    </row>
    <row r="839" spans="26:27" x14ac:dyDescent="0.3">
      <c r="Z839" s="22"/>
      <c r="AA839" s="22"/>
    </row>
    <row r="840" spans="26:27" x14ac:dyDescent="0.3">
      <c r="Z840" s="22"/>
      <c r="AA840" s="22"/>
    </row>
    <row r="841" spans="26:27" x14ac:dyDescent="0.3">
      <c r="Z841" s="22"/>
      <c r="AA841" s="22"/>
    </row>
    <row r="842" spans="26:27" x14ac:dyDescent="0.3">
      <c r="Z842" s="22"/>
      <c r="AA842" s="22"/>
    </row>
    <row r="843" spans="26:27" x14ac:dyDescent="0.3">
      <c r="Z843" s="22"/>
      <c r="AA843" s="22"/>
    </row>
    <row r="844" spans="26:27" x14ac:dyDescent="0.3">
      <c r="Z844" s="22"/>
      <c r="AA844" s="22"/>
    </row>
    <row r="845" spans="26:27" x14ac:dyDescent="0.3">
      <c r="Z845" s="22"/>
      <c r="AA845" s="22"/>
    </row>
    <row r="846" spans="26:27" x14ac:dyDescent="0.3">
      <c r="Z846" s="22"/>
      <c r="AA846" s="22"/>
    </row>
    <row r="847" spans="26:27" x14ac:dyDescent="0.3">
      <c r="Z847" s="22"/>
      <c r="AA847" s="22"/>
    </row>
    <row r="848" spans="26:27" x14ac:dyDescent="0.3">
      <c r="Z848" s="22"/>
      <c r="AA848" s="22"/>
    </row>
    <row r="849" spans="26:27" x14ac:dyDescent="0.3">
      <c r="Z849" s="22"/>
      <c r="AA849" s="22"/>
    </row>
    <row r="850" spans="26:27" x14ac:dyDescent="0.3">
      <c r="Z850" s="22"/>
      <c r="AA850" s="22"/>
    </row>
    <row r="851" spans="26:27" x14ac:dyDescent="0.3">
      <c r="Z851" s="22"/>
      <c r="AA851" s="22"/>
    </row>
    <row r="852" spans="26:27" x14ac:dyDescent="0.3">
      <c r="Z852" s="22"/>
      <c r="AA852" s="22"/>
    </row>
    <row r="853" spans="26:27" x14ac:dyDescent="0.3">
      <c r="Z853" s="22"/>
      <c r="AA853" s="22"/>
    </row>
    <row r="854" spans="26:27" x14ac:dyDescent="0.3">
      <c r="Z854" s="22"/>
      <c r="AA854" s="22"/>
    </row>
    <row r="855" spans="26:27" x14ac:dyDescent="0.3">
      <c r="Z855" s="22"/>
      <c r="AA855" s="22"/>
    </row>
    <row r="856" spans="26:27" x14ac:dyDescent="0.3">
      <c r="Z856" s="22"/>
      <c r="AA856" s="22"/>
    </row>
    <row r="857" spans="26:27" x14ac:dyDescent="0.3">
      <c r="Z857" s="22"/>
      <c r="AA857" s="22"/>
    </row>
    <row r="858" spans="26:27" x14ac:dyDescent="0.3">
      <c r="Z858" s="22"/>
      <c r="AA858" s="22"/>
    </row>
    <row r="859" spans="26:27" x14ac:dyDescent="0.3">
      <c r="Z859" s="22"/>
      <c r="AA859" s="22"/>
    </row>
    <row r="860" spans="26:27" x14ac:dyDescent="0.3">
      <c r="Z860" s="22"/>
      <c r="AA860" s="22"/>
    </row>
    <row r="861" spans="26:27" x14ac:dyDescent="0.3">
      <c r="Z861" s="22"/>
      <c r="AA861" s="22"/>
    </row>
    <row r="862" spans="26:27" x14ac:dyDescent="0.3">
      <c r="Z862" s="22"/>
      <c r="AA862" s="22"/>
    </row>
    <row r="863" spans="26:27" x14ac:dyDescent="0.3">
      <c r="Z863" s="22"/>
      <c r="AA863" s="22"/>
    </row>
    <row r="864" spans="26:27" x14ac:dyDescent="0.3">
      <c r="Z864" s="22"/>
      <c r="AA864" s="22"/>
    </row>
    <row r="865" spans="26:27" x14ac:dyDescent="0.3">
      <c r="Z865" s="22"/>
      <c r="AA865" s="22"/>
    </row>
    <row r="866" spans="26:27" x14ac:dyDescent="0.3">
      <c r="Z866" s="22"/>
      <c r="AA866" s="22"/>
    </row>
    <row r="867" spans="26:27" x14ac:dyDescent="0.3">
      <c r="Z867" s="22"/>
      <c r="AA867" s="22"/>
    </row>
    <row r="868" spans="26:27" x14ac:dyDescent="0.3">
      <c r="Z868" s="22"/>
      <c r="AA868" s="22"/>
    </row>
    <row r="869" spans="26:27" x14ac:dyDescent="0.3">
      <c r="Z869" s="22"/>
      <c r="AA869" s="22"/>
    </row>
    <row r="870" spans="26:27" x14ac:dyDescent="0.3">
      <c r="Z870" s="22"/>
      <c r="AA870" s="22"/>
    </row>
    <row r="871" spans="26:27" x14ac:dyDescent="0.3">
      <c r="Z871" s="22"/>
      <c r="AA871" s="22"/>
    </row>
    <row r="872" spans="26:27" x14ac:dyDescent="0.3">
      <c r="Z872" s="22"/>
      <c r="AA872" s="22"/>
    </row>
    <row r="873" spans="26:27" x14ac:dyDescent="0.3">
      <c r="Z873" s="22"/>
      <c r="AA873" s="22"/>
    </row>
    <row r="874" spans="26:27" x14ac:dyDescent="0.3">
      <c r="Z874" s="22"/>
      <c r="AA874" s="22"/>
    </row>
    <row r="875" spans="26:27" x14ac:dyDescent="0.3">
      <c r="Z875" s="22"/>
      <c r="AA875" s="22"/>
    </row>
    <row r="876" spans="26:27" x14ac:dyDescent="0.3">
      <c r="Z876" s="22"/>
      <c r="AA876" s="22"/>
    </row>
    <row r="877" spans="26:27" x14ac:dyDescent="0.3">
      <c r="Z877" s="22"/>
      <c r="AA877" s="22"/>
    </row>
    <row r="878" spans="26:27" x14ac:dyDescent="0.3">
      <c r="Z878" s="22"/>
      <c r="AA878" s="22"/>
    </row>
    <row r="879" spans="26:27" x14ac:dyDescent="0.3">
      <c r="Z879" s="22"/>
      <c r="AA879" s="22"/>
    </row>
    <row r="880" spans="26:27" x14ac:dyDescent="0.3">
      <c r="Z880" s="22"/>
      <c r="AA880" s="22"/>
    </row>
    <row r="881" spans="26:27" x14ac:dyDescent="0.3">
      <c r="Z881" s="22"/>
      <c r="AA881" s="22"/>
    </row>
    <row r="882" spans="26:27" x14ac:dyDescent="0.3">
      <c r="Z882" s="22"/>
      <c r="AA882" s="22"/>
    </row>
    <row r="883" spans="26:27" x14ac:dyDescent="0.3">
      <c r="Z883" s="22"/>
      <c r="AA883" s="22"/>
    </row>
    <row r="884" spans="26:27" x14ac:dyDescent="0.3">
      <c r="Z884" s="22"/>
      <c r="AA884" s="22"/>
    </row>
    <row r="885" spans="26:27" x14ac:dyDescent="0.3">
      <c r="Z885" s="22"/>
      <c r="AA885" s="22"/>
    </row>
    <row r="886" spans="26:27" x14ac:dyDescent="0.3">
      <c r="Z886" s="22"/>
      <c r="AA886" s="22"/>
    </row>
    <row r="887" spans="26:27" x14ac:dyDescent="0.3">
      <c r="Z887" s="22"/>
      <c r="AA887" s="22"/>
    </row>
    <row r="888" spans="26:27" x14ac:dyDescent="0.3">
      <c r="Z888" s="22"/>
      <c r="AA888" s="22"/>
    </row>
    <row r="889" spans="26:27" x14ac:dyDescent="0.3">
      <c r="Z889" s="22"/>
      <c r="AA889" s="22"/>
    </row>
    <row r="890" spans="26:27" x14ac:dyDescent="0.3">
      <c r="Z890" s="22"/>
      <c r="AA890" s="22"/>
    </row>
    <row r="891" spans="26:27" x14ac:dyDescent="0.3">
      <c r="Z891" s="22"/>
      <c r="AA891" s="22"/>
    </row>
    <row r="892" spans="26:27" x14ac:dyDescent="0.3">
      <c r="Z892" s="22"/>
      <c r="AA892" s="22"/>
    </row>
    <row r="893" spans="26:27" x14ac:dyDescent="0.3">
      <c r="Z893" s="22"/>
      <c r="AA893" s="22"/>
    </row>
    <row r="894" spans="26:27" x14ac:dyDescent="0.3">
      <c r="Z894" s="22"/>
      <c r="AA894" s="22"/>
    </row>
    <row r="895" spans="26:27" x14ac:dyDescent="0.3">
      <c r="Z895" s="22"/>
      <c r="AA895" s="22"/>
    </row>
    <row r="896" spans="26:27" x14ac:dyDescent="0.3">
      <c r="Z896" s="22"/>
      <c r="AA896" s="22"/>
    </row>
    <row r="897" spans="26:27" x14ac:dyDescent="0.3">
      <c r="Z897" s="22"/>
      <c r="AA897" s="22"/>
    </row>
    <row r="898" spans="26:27" x14ac:dyDescent="0.3">
      <c r="Z898" s="22"/>
      <c r="AA898" s="22"/>
    </row>
    <row r="899" spans="26:27" x14ac:dyDescent="0.3">
      <c r="Z899" s="22"/>
      <c r="AA899" s="22"/>
    </row>
    <row r="900" spans="26:27" x14ac:dyDescent="0.3">
      <c r="Z900" s="22"/>
      <c r="AA900" s="22"/>
    </row>
    <row r="901" spans="26:27" x14ac:dyDescent="0.3">
      <c r="Z901" s="22"/>
      <c r="AA901" s="22"/>
    </row>
    <row r="902" spans="26:27" x14ac:dyDescent="0.3">
      <c r="Z902" s="22"/>
      <c r="AA902" s="22"/>
    </row>
    <row r="903" spans="26:27" x14ac:dyDescent="0.3">
      <c r="Z903" s="22"/>
      <c r="AA903" s="22"/>
    </row>
    <row r="904" spans="26:27" x14ac:dyDescent="0.3">
      <c r="Z904" s="22"/>
      <c r="AA904" s="22"/>
    </row>
    <row r="905" spans="26:27" x14ac:dyDescent="0.3">
      <c r="Z905" s="22"/>
      <c r="AA905" s="22"/>
    </row>
    <row r="906" spans="26:27" x14ac:dyDescent="0.3">
      <c r="Z906" s="22"/>
      <c r="AA906" s="22"/>
    </row>
    <row r="907" spans="26:27" x14ac:dyDescent="0.3">
      <c r="Z907" s="22"/>
      <c r="AA907" s="22"/>
    </row>
    <row r="908" spans="26:27" x14ac:dyDescent="0.3">
      <c r="Z908" s="22"/>
      <c r="AA908" s="22"/>
    </row>
    <row r="909" spans="26:27" x14ac:dyDescent="0.3">
      <c r="Z909" s="22"/>
      <c r="AA909" s="22"/>
    </row>
    <row r="910" spans="26:27" x14ac:dyDescent="0.3">
      <c r="Z910" s="22"/>
      <c r="AA910" s="22"/>
    </row>
    <row r="911" spans="26:27" x14ac:dyDescent="0.3">
      <c r="Z911" s="22"/>
      <c r="AA911" s="22"/>
    </row>
    <row r="912" spans="26:27" x14ac:dyDescent="0.3">
      <c r="Z912" s="22"/>
      <c r="AA912" s="22"/>
    </row>
    <row r="913" spans="26:27" x14ac:dyDescent="0.3">
      <c r="Z913" s="22"/>
      <c r="AA913" s="22"/>
    </row>
    <row r="914" spans="26:27" x14ac:dyDescent="0.3">
      <c r="Z914" s="22"/>
      <c r="AA914" s="22"/>
    </row>
    <row r="915" spans="26:27" x14ac:dyDescent="0.3">
      <c r="Z915" s="22"/>
      <c r="AA915" s="22"/>
    </row>
    <row r="916" spans="26:27" x14ac:dyDescent="0.3">
      <c r="Z916" s="22"/>
      <c r="AA916" s="22"/>
    </row>
    <row r="917" spans="26:27" x14ac:dyDescent="0.3">
      <c r="Z917" s="22"/>
      <c r="AA917" s="22"/>
    </row>
    <row r="918" spans="26:27" x14ac:dyDescent="0.3">
      <c r="Z918" s="22"/>
      <c r="AA918" s="22"/>
    </row>
    <row r="919" spans="26:27" x14ac:dyDescent="0.3">
      <c r="Z919" s="22"/>
      <c r="AA919" s="22"/>
    </row>
    <row r="920" spans="26:27" x14ac:dyDescent="0.3">
      <c r="Z920" s="22"/>
      <c r="AA920" s="22"/>
    </row>
    <row r="921" spans="26:27" x14ac:dyDescent="0.3">
      <c r="Z921" s="22"/>
      <c r="AA921" s="22"/>
    </row>
    <row r="922" spans="26:27" x14ac:dyDescent="0.3">
      <c r="Z922" s="22"/>
      <c r="AA922" s="22"/>
    </row>
    <row r="923" spans="26:27" x14ac:dyDescent="0.3">
      <c r="Z923" s="22"/>
      <c r="AA923" s="22"/>
    </row>
    <row r="924" spans="26:27" x14ac:dyDescent="0.3">
      <c r="Z924" s="22"/>
      <c r="AA924" s="22"/>
    </row>
    <row r="925" spans="26:27" x14ac:dyDescent="0.3">
      <c r="Z925" s="22"/>
      <c r="AA925" s="22"/>
    </row>
    <row r="926" spans="26:27" x14ac:dyDescent="0.3">
      <c r="Z926" s="22"/>
      <c r="AA926" s="22"/>
    </row>
    <row r="927" spans="26:27" x14ac:dyDescent="0.3">
      <c r="Z927" s="22"/>
      <c r="AA927" s="22"/>
    </row>
    <row r="928" spans="26:27" x14ac:dyDescent="0.3">
      <c r="Z928" s="22"/>
      <c r="AA928" s="22"/>
    </row>
    <row r="929" spans="26:27" x14ac:dyDescent="0.3">
      <c r="Z929" s="22"/>
      <c r="AA929" s="22"/>
    </row>
    <row r="930" spans="26:27" x14ac:dyDescent="0.3">
      <c r="Z930" s="22"/>
      <c r="AA930" s="22"/>
    </row>
    <row r="931" spans="26:27" x14ac:dyDescent="0.3">
      <c r="Z931" s="22"/>
      <c r="AA931" s="22"/>
    </row>
    <row r="932" spans="26:27" x14ac:dyDescent="0.3">
      <c r="Z932" s="22"/>
      <c r="AA932" s="22"/>
    </row>
    <row r="933" spans="26:27" x14ac:dyDescent="0.3">
      <c r="Z933" s="22"/>
      <c r="AA933" s="22"/>
    </row>
    <row r="934" spans="26:27" x14ac:dyDescent="0.3">
      <c r="Z934" s="22"/>
      <c r="AA934" s="22"/>
    </row>
    <row r="935" spans="26:27" x14ac:dyDescent="0.3">
      <c r="Z935" s="22"/>
      <c r="AA935" s="22"/>
    </row>
    <row r="936" spans="26:27" x14ac:dyDescent="0.3">
      <c r="Z936" s="22"/>
      <c r="AA936" s="22"/>
    </row>
    <row r="937" spans="26:27" x14ac:dyDescent="0.3">
      <c r="Z937" s="22"/>
      <c r="AA937" s="22"/>
    </row>
    <row r="938" spans="26:27" x14ac:dyDescent="0.3">
      <c r="Z938" s="22"/>
      <c r="AA938" s="22"/>
    </row>
    <row r="939" spans="26:27" x14ac:dyDescent="0.3">
      <c r="Z939" s="22"/>
      <c r="AA939" s="22"/>
    </row>
    <row r="940" spans="26:27" x14ac:dyDescent="0.3">
      <c r="Z940" s="22"/>
      <c r="AA940" s="22"/>
    </row>
    <row r="941" spans="26:27" x14ac:dyDescent="0.3">
      <c r="Z941" s="22"/>
      <c r="AA941" s="22"/>
    </row>
    <row r="942" spans="26:27" x14ac:dyDescent="0.3">
      <c r="Z942" s="22"/>
      <c r="AA942" s="22"/>
    </row>
    <row r="943" spans="26:27" x14ac:dyDescent="0.3">
      <c r="Z943" s="22"/>
      <c r="AA943" s="22"/>
    </row>
    <row r="944" spans="26:27" x14ac:dyDescent="0.3">
      <c r="Z944" s="22"/>
      <c r="AA944" s="22"/>
    </row>
    <row r="945" spans="26:27" x14ac:dyDescent="0.3">
      <c r="Z945" s="22"/>
      <c r="AA945" s="22"/>
    </row>
    <row r="946" spans="26:27" x14ac:dyDescent="0.3">
      <c r="Z946" s="22"/>
      <c r="AA946" s="22"/>
    </row>
    <row r="947" spans="26:27" x14ac:dyDescent="0.3">
      <c r="Z947" s="22"/>
      <c r="AA947" s="22"/>
    </row>
    <row r="948" spans="26:27" x14ac:dyDescent="0.3">
      <c r="Z948" s="22"/>
      <c r="AA948" s="22"/>
    </row>
    <row r="949" spans="26:27" x14ac:dyDescent="0.3">
      <c r="Z949" s="22"/>
      <c r="AA949" s="22"/>
    </row>
    <row r="950" spans="26:27" x14ac:dyDescent="0.3">
      <c r="Z950" s="22"/>
      <c r="AA950" s="22"/>
    </row>
    <row r="951" spans="26:27" x14ac:dyDescent="0.3">
      <c r="Z951" s="22"/>
      <c r="AA951" s="22"/>
    </row>
    <row r="952" spans="26:27" x14ac:dyDescent="0.3">
      <c r="Z952" s="22"/>
      <c r="AA952" s="22"/>
    </row>
    <row r="953" spans="26:27" x14ac:dyDescent="0.3">
      <c r="Z953" s="22"/>
      <c r="AA953" s="22"/>
    </row>
    <row r="954" spans="26:27" x14ac:dyDescent="0.3">
      <c r="Z954" s="22"/>
      <c r="AA954" s="22"/>
    </row>
    <row r="955" spans="26:27" x14ac:dyDescent="0.3">
      <c r="Z955" s="22"/>
      <c r="AA955" s="22"/>
    </row>
    <row r="956" spans="26:27" x14ac:dyDescent="0.3">
      <c r="Z956" s="22"/>
      <c r="AA956" s="22"/>
    </row>
    <row r="957" spans="26:27" x14ac:dyDescent="0.3">
      <c r="Z957" s="22"/>
      <c r="AA957" s="22"/>
    </row>
    <row r="958" spans="26:27" x14ac:dyDescent="0.3">
      <c r="Z958" s="22"/>
      <c r="AA958" s="22"/>
    </row>
    <row r="959" spans="26:27" x14ac:dyDescent="0.3">
      <c r="Z959" s="22"/>
      <c r="AA959" s="22"/>
    </row>
    <row r="960" spans="26:27" x14ac:dyDescent="0.3">
      <c r="Z960" s="22"/>
      <c r="AA960" s="22"/>
    </row>
    <row r="961" spans="26:27" x14ac:dyDescent="0.3">
      <c r="Z961" s="22"/>
      <c r="AA961" s="22"/>
    </row>
    <row r="962" spans="26:27" x14ac:dyDescent="0.3">
      <c r="Z962" s="22"/>
      <c r="AA962" s="22"/>
    </row>
    <row r="963" spans="26:27" x14ac:dyDescent="0.3">
      <c r="Z963" s="22"/>
      <c r="AA963" s="22"/>
    </row>
    <row r="964" spans="26:27" x14ac:dyDescent="0.3">
      <c r="Z964" s="22"/>
      <c r="AA964" s="22"/>
    </row>
    <row r="965" spans="26:27" x14ac:dyDescent="0.3">
      <c r="Z965" s="22"/>
      <c r="AA965" s="22"/>
    </row>
    <row r="966" spans="26:27" x14ac:dyDescent="0.3">
      <c r="Z966" s="22"/>
      <c r="AA966" s="22"/>
    </row>
    <row r="967" spans="26:27" x14ac:dyDescent="0.3">
      <c r="Z967" s="22"/>
      <c r="AA967" s="22"/>
    </row>
    <row r="968" spans="26:27" x14ac:dyDescent="0.3">
      <c r="Z968" s="22"/>
      <c r="AA968" s="22"/>
    </row>
    <row r="969" spans="26:27" x14ac:dyDescent="0.3">
      <c r="Z969" s="22"/>
      <c r="AA969" s="22"/>
    </row>
    <row r="970" spans="26:27" x14ac:dyDescent="0.3">
      <c r="Z970" s="22"/>
      <c r="AA970" s="22"/>
    </row>
    <row r="971" spans="26:27" x14ac:dyDescent="0.3">
      <c r="Z971" s="22"/>
      <c r="AA971" s="22"/>
    </row>
    <row r="972" spans="26:27" x14ac:dyDescent="0.3">
      <c r="Z972" s="22"/>
      <c r="AA972" s="22"/>
    </row>
    <row r="973" spans="26:27" x14ac:dyDescent="0.3">
      <c r="Z973" s="22"/>
      <c r="AA973" s="22"/>
    </row>
    <row r="974" spans="26:27" x14ac:dyDescent="0.3">
      <c r="Z974" s="22"/>
      <c r="AA974" s="22"/>
    </row>
    <row r="975" spans="26:27" x14ac:dyDescent="0.3">
      <c r="Z975" s="22"/>
      <c r="AA975" s="22"/>
    </row>
    <row r="976" spans="26:27" x14ac:dyDescent="0.3">
      <c r="Z976" s="22"/>
      <c r="AA976" s="22"/>
    </row>
    <row r="977" spans="26:27" x14ac:dyDescent="0.3">
      <c r="Z977" s="22"/>
      <c r="AA977" s="22"/>
    </row>
    <row r="978" spans="26:27" x14ac:dyDescent="0.3">
      <c r="Z978" s="22"/>
      <c r="AA978" s="22"/>
    </row>
    <row r="979" spans="26:27" x14ac:dyDescent="0.3">
      <c r="Z979" s="22"/>
      <c r="AA979" s="22"/>
    </row>
    <row r="980" spans="26:27" x14ac:dyDescent="0.3">
      <c r="Z980" s="22"/>
      <c r="AA980" s="22"/>
    </row>
    <row r="981" spans="26:27" x14ac:dyDescent="0.3">
      <c r="Z981" s="22"/>
      <c r="AA981" s="22"/>
    </row>
    <row r="982" spans="26:27" x14ac:dyDescent="0.3">
      <c r="Z982" s="22"/>
      <c r="AA982" s="22"/>
    </row>
    <row r="983" spans="26:27" x14ac:dyDescent="0.3">
      <c r="Z983" s="22"/>
      <c r="AA983" s="22"/>
    </row>
    <row r="984" spans="26:27" x14ac:dyDescent="0.3">
      <c r="Z984" s="22"/>
      <c r="AA984" s="22"/>
    </row>
    <row r="985" spans="26:27" x14ac:dyDescent="0.3">
      <c r="Z985" s="22"/>
      <c r="AA985" s="22"/>
    </row>
    <row r="986" spans="26:27" x14ac:dyDescent="0.3">
      <c r="Z986" s="22"/>
      <c r="AA986" s="22"/>
    </row>
    <row r="987" spans="26:27" x14ac:dyDescent="0.3">
      <c r="Z987" s="22"/>
      <c r="AA987" s="22"/>
    </row>
    <row r="988" spans="26:27" x14ac:dyDescent="0.3">
      <c r="Z988" s="22"/>
      <c r="AA988" s="22"/>
    </row>
    <row r="989" spans="26:27" x14ac:dyDescent="0.3">
      <c r="Z989" s="22"/>
      <c r="AA989" s="22"/>
    </row>
    <row r="990" spans="26:27" x14ac:dyDescent="0.3">
      <c r="Z990" s="22"/>
      <c r="AA990" s="22"/>
    </row>
    <row r="991" spans="26:27" x14ac:dyDescent="0.3">
      <c r="Z991" s="22"/>
      <c r="AA991" s="22"/>
    </row>
    <row r="992" spans="26:27" x14ac:dyDescent="0.3">
      <c r="Z992" s="22"/>
      <c r="AA992" s="22"/>
    </row>
    <row r="993" spans="26:27" x14ac:dyDescent="0.3">
      <c r="Z993" s="22"/>
      <c r="AA993" s="22"/>
    </row>
    <row r="994" spans="26:27" x14ac:dyDescent="0.3">
      <c r="Z994" s="22"/>
      <c r="AA994" s="22"/>
    </row>
    <row r="995" spans="26:27" x14ac:dyDescent="0.3">
      <c r="Z995" s="22"/>
      <c r="AA995" s="22"/>
    </row>
    <row r="996" spans="26:27" x14ac:dyDescent="0.3">
      <c r="Z996" s="22"/>
      <c r="AA996" s="22"/>
    </row>
    <row r="997" spans="26:27" x14ac:dyDescent="0.3">
      <c r="Z997" s="22"/>
      <c r="AA997" s="22"/>
    </row>
    <row r="998" spans="26:27" x14ac:dyDescent="0.3">
      <c r="Z998" s="22"/>
      <c r="AA998" s="22"/>
    </row>
    <row r="999" spans="26:27" x14ac:dyDescent="0.3">
      <c r="Z999" s="22"/>
      <c r="AA999" s="22"/>
    </row>
    <row r="1000" spans="26:27" x14ac:dyDescent="0.3">
      <c r="Z1000" s="22"/>
      <c r="AA1000" s="22"/>
    </row>
    <row r="1001" spans="26:27" x14ac:dyDescent="0.3">
      <c r="Z1001" s="22"/>
      <c r="AA1001" s="22"/>
    </row>
    <row r="1002" spans="26:27" x14ac:dyDescent="0.3">
      <c r="Z1002" s="22"/>
      <c r="AA1002" s="22"/>
    </row>
    <row r="1003" spans="26:27" x14ac:dyDescent="0.3">
      <c r="Z1003" s="22"/>
      <c r="AA1003" s="22"/>
    </row>
    <row r="1004" spans="26:27" x14ac:dyDescent="0.3">
      <c r="Z1004" s="22"/>
      <c r="AA1004" s="22"/>
    </row>
    <row r="1005" spans="26:27" x14ac:dyDescent="0.3">
      <c r="Z1005" s="22"/>
      <c r="AA1005" s="22"/>
    </row>
    <row r="1006" spans="26:27" x14ac:dyDescent="0.3">
      <c r="Z1006" s="22"/>
      <c r="AA1006" s="22"/>
    </row>
    <row r="1007" spans="26:27" x14ac:dyDescent="0.3">
      <c r="Z1007" s="22"/>
      <c r="AA1007" s="22"/>
    </row>
    <row r="1008" spans="26:27" x14ac:dyDescent="0.3">
      <c r="Z1008" s="22"/>
      <c r="AA1008" s="22"/>
    </row>
    <row r="1009" spans="26:27" x14ac:dyDescent="0.3">
      <c r="Z1009" s="22"/>
      <c r="AA1009" s="22"/>
    </row>
    <row r="1010" spans="26:27" x14ac:dyDescent="0.3">
      <c r="Z1010" s="22"/>
      <c r="AA1010" s="22"/>
    </row>
    <row r="1011" spans="26:27" x14ac:dyDescent="0.3">
      <c r="Z1011" s="22"/>
      <c r="AA1011" s="22"/>
    </row>
    <row r="1012" spans="26:27" x14ac:dyDescent="0.3">
      <c r="Z1012" s="22"/>
      <c r="AA1012" s="22"/>
    </row>
    <row r="1013" spans="26:27" x14ac:dyDescent="0.3">
      <c r="Z1013" s="22"/>
      <c r="AA1013" s="22"/>
    </row>
    <row r="1014" spans="26:27" x14ac:dyDescent="0.3">
      <c r="Z1014" s="22"/>
      <c r="AA1014" s="22"/>
    </row>
    <row r="1015" spans="26:27" x14ac:dyDescent="0.3">
      <c r="Z1015" s="22"/>
      <c r="AA1015" s="22"/>
    </row>
    <row r="1016" spans="26:27" x14ac:dyDescent="0.3">
      <c r="Z1016" s="22"/>
      <c r="AA1016" s="22"/>
    </row>
    <row r="1017" spans="26:27" x14ac:dyDescent="0.3">
      <c r="Z1017" s="22"/>
      <c r="AA1017" s="22"/>
    </row>
    <row r="1018" spans="26:27" x14ac:dyDescent="0.3">
      <c r="Z1018" s="22"/>
      <c r="AA1018" s="22"/>
    </row>
    <row r="1019" spans="26:27" x14ac:dyDescent="0.3">
      <c r="Z1019" s="22"/>
      <c r="AA1019" s="22"/>
    </row>
    <row r="1020" spans="26:27" x14ac:dyDescent="0.3">
      <c r="Z1020" s="22"/>
      <c r="AA1020" s="22"/>
    </row>
    <row r="1021" spans="26:27" x14ac:dyDescent="0.3">
      <c r="Z1021" s="22"/>
      <c r="AA1021" s="22"/>
    </row>
    <row r="1022" spans="26:27" x14ac:dyDescent="0.3">
      <c r="Z1022" s="22"/>
      <c r="AA1022" s="22"/>
    </row>
    <row r="1023" spans="26:27" x14ac:dyDescent="0.3">
      <c r="Z1023" s="22"/>
      <c r="AA1023" s="22"/>
    </row>
    <row r="1024" spans="26:27" x14ac:dyDescent="0.3">
      <c r="Z1024" s="22"/>
      <c r="AA1024" s="22"/>
    </row>
    <row r="1025" spans="26:27" x14ac:dyDescent="0.3">
      <c r="Z1025" s="22"/>
      <c r="AA1025" s="22"/>
    </row>
    <row r="1026" spans="26:27" x14ac:dyDescent="0.3">
      <c r="Z1026" s="22"/>
      <c r="AA1026" s="22"/>
    </row>
    <row r="1027" spans="26:27" x14ac:dyDescent="0.3">
      <c r="Z1027" s="22"/>
      <c r="AA1027" s="22"/>
    </row>
    <row r="1028" spans="26:27" x14ac:dyDescent="0.3">
      <c r="Z1028" s="22"/>
      <c r="AA1028" s="22"/>
    </row>
    <row r="1029" spans="26:27" x14ac:dyDescent="0.3">
      <c r="Z1029" s="22"/>
      <c r="AA1029" s="22"/>
    </row>
    <row r="1030" spans="26:27" x14ac:dyDescent="0.3">
      <c r="Z1030" s="22"/>
      <c r="AA1030" s="22"/>
    </row>
    <row r="1031" spans="26:27" x14ac:dyDescent="0.3">
      <c r="Z1031" s="22"/>
      <c r="AA1031" s="22"/>
    </row>
    <row r="1032" spans="26:27" x14ac:dyDescent="0.3">
      <c r="Z1032" s="22"/>
      <c r="AA1032" s="22"/>
    </row>
    <row r="1033" spans="26:27" x14ac:dyDescent="0.3">
      <c r="Z1033" s="22"/>
      <c r="AA1033" s="22"/>
    </row>
    <row r="1034" spans="26:27" x14ac:dyDescent="0.3">
      <c r="Z1034" s="22"/>
      <c r="AA1034" s="22"/>
    </row>
    <row r="1035" spans="26:27" x14ac:dyDescent="0.3">
      <c r="Z1035" s="22"/>
      <c r="AA1035" s="22"/>
    </row>
    <row r="1036" spans="26:27" x14ac:dyDescent="0.3">
      <c r="Z1036" s="22"/>
      <c r="AA1036" s="22"/>
    </row>
    <row r="1037" spans="26:27" x14ac:dyDescent="0.3">
      <c r="Z1037" s="22"/>
      <c r="AA1037" s="22"/>
    </row>
    <row r="1038" spans="26:27" x14ac:dyDescent="0.3">
      <c r="Z1038" s="22"/>
      <c r="AA1038" s="22"/>
    </row>
    <row r="1039" spans="26:27" x14ac:dyDescent="0.3">
      <c r="Z1039" s="22"/>
      <c r="AA1039" s="22"/>
    </row>
    <row r="1040" spans="26:27" x14ac:dyDescent="0.3">
      <c r="Z1040" s="22"/>
      <c r="AA1040" s="22"/>
    </row>
    <row r="1041" spans="26:27" x14ac:dyDescent="0.3">
      <c r="Z1041" s="22"/>
      <c r="AA1041" s="22"/>
    </row>
    <row r="1042" spans="26:27" x14ac:dyDescent="0.3">
      <c r="Z1042" s="22"/>
      <c r="AA1042" s="22"/>
    </row>
    <row r="1043" spans="26:27" x14ac:dyDescent="0.3">
      <c r="Z1043" s="22"/>
      <c r="AA1043" s="22"/>
    </row>
    <row r="1044" spans="26:27" x14ac:dyDescent="0.3">
      <c r="Z1044" s="22"/>
      <c r="AA1044" s="22"/>
    </row>
    <row r="1045" spans="26:27" x14ac:dyDescent="0.3">
      <c r="Z1045" s="22"/>
      <c r="AA1045" s="22"/>
    </row>
    <row r="1046" spans="26:27" x14ac:dyDescent="0.3">
      <c r="Z1046" s="22"/>
      <c r="AA1046" s="22"/>
    </row>
    <row r="1047" spans="26:27" x14ac:dyDescent="0.3">
      <c r="Z1047" s="22"/>
      <c r="AA1047" s="22"/>
    </row>
    <row r="1048" spans="26:27" x14ac:dyDescent="0.3">
      <c r="Z1048" s="22"/>
      <c r="AA1048" s="22"/>
    </row>
    <row r="1049" spans="26:27" x14ac:dyDescent="0.3">
      <c r="Z1049" s="22"/>
      <c r="AA1049" s="22"/>
    </row>
    <row r="1050" spans="26:27" x14ac:dyDescent="0.3">
      <c r="Z1050" s="22"/>
      <c r="AA1050" s="22"/>
    </row>
    <row r="1051" spans="26:27" x14ac:dyDescent="0.3">
      <c r="Z1051" s="22"/>
      <c r="AA1051" s="22"/>
    </row>
    <row r="1052" spans="26:27" x14ac:dyDescent="0.3">
      <c r="Z1052" s="22"/>
      <c r="AA1052" s="22"/>
    </row>
    <row r="1053" spans="26:27" x14ac:dyDescent="0.3">
      <c r="Z1053" s="22"/>
      <c r="AA1053" s="22"/>
    </row>
    <row r="1054" spans="26:27" x14ac:dyDescent="0.3">
      <c r="Z1054" s="22"/>
      <c r="AA1054" s="22"/>
    </row>
    <row r="1055" spans="26:27" x14ac:dyDescent="0.3">
      <c r="Z1055" s="22"/>
      <c r="AA1055" s="22"/>
    </row>
    <row r="1056" spans="26:27" x14ac:dyDescent="0.3">
      <c r="Z1056" s="22"/>
      <c r="AA1056" s="22"/>
    </row>
    <row r="1057" spans="26:27" x14ac:dyDescent="0.3">
      <c r="Z1057" s="22"/>
      <c r="AA1057" s="22"/>
    </row>
    <row r="1058" spans="26:27" x14ac:dyDescent="0.3">
      <c r="Z1058" s="22"/>
      <c r="AA1058" s="22"/>
    </row>
    <row r="1059" spans="26:27" x14ac:dyDescent="0.3">
      <c r="Z1059" s="22"/>
      <c r="AA1059" s="22"/>
    </row>
    <row r="1060" spans="26:27" x14ac:dyDescent="0.3">
      <c r="Z1060" s="22"/>
      <c r="AA1060" s="22"/>
    </row>
    <row r="1061" spans="26:27" x14ac:dyDescent="0.3">
      <c r="Z1061" s="22"/>
      <c r="AA1061" s="22"/>
    </row>
    <row r="1062" spans="26:27" x14ac:dyDescent="0.3">
      <c r="Z1062" s="22"/>
      <c r="AA1062" s="22"/>
    </row>
    <row r="1063" spans="26:27" x14ac:dyDescent="0.3">
      <c r="Z1063" s="22"/>
      <c r="AA1063" s="22"/>
    </row>
    <row r="1064" spans="26:27" x14ac:dyDescent="0.3">
      <c r="Z1064" s="22"/>
      <c r="AA1064" s="22"/>
    </row>
    <row r="1065" spans="26:27" x14ac:dyDescent="0.3">
      <c r="Z1065" s="22"/>
      <c r="AA1065" s="22"/>
    </row>
    <row r="1066" spans="26:27" x14ac:dyDescent="0.3">
      <c r="Z1066" s="22"/>
      <c r="AA1066" s="22"/>
    </row>
    <row r="1067" spans="26:27" x14ac:dyDescent="0.3">
      <c r="Z1067" s="22"/>
      <c r="AA1067" s="22"/>
    </row>
    <row r="1068" spans="26:27" x14ac:dyDescent="0.3">
      <c r="Z1068" s="22"/>
      <c r="AA1068" s="22"/>
    </row>
    <row r="1069" spans="26:27" x14ac:dyDescent="0.3">
      <c r="Z1069" s="22"/>
      <c r="AA1069" s="22"/>
    </row>
    <row r="1070" spans="26:27" x14ac:dyDescent="0.3">
      <c r="Z1070" s="22"/>
      <c r="AA1070" s="22"/>
    </row>
    <row r="1071" spans="26:27" x14ac:dyDescent="0.3">
      <c r="Z1071" s="22"/>
      <c r="AA1071" s="22"/>
    </row>
    <row r="1072" spans="26:27" x14ac:dyDescent="0.3">
      <c r="Z1072" s="22"/>
      <c r="AA1072" s="22"/>
    </row>
    <row r="1073" spans="26:27" x14ac:dyDescent="0.3">
      <c r="Z1073" s="22"/>
      <c r="AA1073" s="22"/>
    </row>
    <row r="1074" spans="26:27" x14ac:dyDescent="0.3">
      <c r="Z1074" s="22"/>
      <c r="AA1074" s="22"/>
    </row>
    <row r="1075" spans="26:27" x14ac:dyDescent="0.3">
      <c r="Z1075" s="22"/>
      <c r="AA1075" s="22"/>
    </row>
    <row r="1076" spans="26:27" x14ac:dyDescent="0.3">
      <c r="Z1076" s="22"/>
      <c r="AA1076" s="22"/>
    </row>
    <row r="1077" spans="26:27" x14ac:dyDescent="0.3">
      <c r="Z1077" s="22"/>
      <c r="AA1077" s="22"/>
    </row>
    <row r="1078" spans="26:27" x14ac:dyDescent="0.3">
      <c r="Z1078" s="22"/>
      <c r="AA1078" s="22"/>
    </row>
    <row r="1079" spans="26:27" x14ac:dyDescent="0.3">
      <c r="Z1079" s="22"/>
      <c r="AA1079" s="22"/>
    </row>
    <row r="1080" spans="26:27" x14ac:dyDescent="0.3">
      <c r="Z1080" s="22"/>
      <c r="AA1080" s="22"/>
    </row>
    <row r="1081" spans="26:27" x14ac:dyDescent="0.3">
      <c r="Z1081" s="22"/>
      <c r="AA1081" s="22"/>
    </row>
    <row r="1082" spans="26:27" x14ac:dyDescent="0.3">
      <c r="Z1082" s="22"/>
      <c r="AA1082" s="22"/>
    </row>
    <row r="1083" spans="26:27" x14ac:dyDescent="0.3">
      <c r="Z1083" s="22"/>
      <c r="AA1083" s="22"/>
    </row>
    <row r="1084" spans="26:27" x14ac:dyDescent="0.3">
      <c r="Z1084" s="22"/>
      <c r="AA1084" s="22"/>
    </row>
    <row r="1085" spans="26:27" x14ac:dyDescent="0.3">
      <c r="Z1085" s="22"/>
      <c r="AA1085" s="22"/>
    </row>
    <row r="1086" spans="26:27" x14ac:dyDescent="0.3">
      <c r="Z1086" s="22"/>
      <c r="AA1086" s="22"/>
    </row>
    <row r="1087" spans="26:27" x14ac:dyDescent="0.3">
      <c r="Z1087" s="22"/>
      <c r="AA1087" s="22"/>
    </row>
    <row r="1088" spans="26:27" x14ac:dyDescent="0.3">
      <c r="Z1088" s="22"/>
      <c r="AA1088" s="22"/>
    </row>
    <row r="1089" spans="26:27" x14ac:dyDescent="0.3">
      <c r="Z1089" s="22"/>
      <c r="AA1089" s="22"/>
    </row>
    <row r="1090" spans="26:27" x14ac:dyDescent="0.3">
      <c r="Z1090" s="22"/>
      <c r="AA1090" s="22"/>
    </row>
    <row r="1091" spans="26:27" x14ac:dyDescent="0.3">
      <c r="Z1091" s="22"/>
      <c r="AA1091" s="22"/>
    </row>
    <row r="1092" spans="26:27" x14ac:dyDescent="0.3">
      <c r="Z1092" s="22"/>
      <c r="AA1092" s="22"/>
    </row>
    <row r="1093" spans="26:27" x14ac:dyDescent="0.3">
      <c r="Z1093" s="22"/>
      <c r="AA1093" s="22"/>
    </row>
    <row r="1094" spans="26:27" x14ac:dyDescent="0.3">
      <c r="Z1094" s="22"/>
      <c r="AA1094" s="22"/>
    </row>
    <row r="1095" spans="26:27" x14ac:dyDescent="0.3">
      <c r="Z1095" s="22"/>
      <c r="AA1095" s="22"/>
    </row>
    <row r="1096" spans="26:27" x14ac:dyDescent="0.3">
      <c r="Z1096" s="22"/>
      <c r="AA1096" s="22"/>
    </row>
    <row r="1097" spans="26:27" x14ac:dyDescent="0.3">
      <c r="Z1097" s="22"/>
      <c r="AA1097" s="22"/>
    </row>
    <row r="1098" spans="26:27" x14ac:dyDescent="0.3">
      <c r="Z1098" s="22"/>
      <c r="AA1098" s="22"/>
    </row>
    <row r="1099" spans="26:27" x14ac:dyDescent="0.3">
      <c r="Z1099" s="22"/>
      <c r="AA1099" s="22"/>
    </row>
    <row r="1100" spans="26:27" x14ac:dyDescent="0.3">
      <c r="Z1100" s="22"/>
      <c r="AA1100" s="22"/>
    </row>
    <row r="1101" spans="26:27" x14ac:dyDescent="0.3">
      <c r="Z1101" s="22"/>
      <c r="AA1101" s="22"/>
    </row>
    <row r="1102" spans="26:27" x14ac:dyDescent="0.3">
      <c r="Z1102" s="22"/>
      <c r="AA1102" s="22"/>
    </row>
    <row r="1103" spans="26:27" x14ac:dyDescent="0.3">
      <c r="Z1103" s="22"/>
      <c r="AA1103" s="22"/>
    </row>
    <row r="1104" spans="26:27" x14ac:dyDescent="0.3">
      <c r="Z1104" s="22"/>
      <c r="AA1104" s="22"/>
    </row>
    <row r="1105" spans="26:27" x14ac:dyDescent="0.3">
      <c r="Z1105" s="22"/>
      <c r="AA1105" s="22"/>
    </row>
    <row r="1106" spans="26:27" x14ac:dyDescent="0.3">
      <c r="Z1106" s="22"/>
      <c r="AA1106" s="22"/>
    </row>
    <row r="1107" spans="26:27" x14ac:dyDescent="0.3">
      <c r="Z1107" s="22"/>
      <c r="AA1107" s="22"/>
    </row>
    <row r="1108" spans="26:27" x14ac:dyDescent="0.3">
      <c r="Z1108" s="22"/>
      <c r="AA1108" s="22"/>
    </row>
    <row r="1109" spans="26:27" x14ac:dyDescent="0.3">
      <c r="Z1109" s="22"/>
      <c r="AA1109" s="22"/>
    </row>
    <row r="1110" spans="26:27" x14ac:dyDescent="0.3">
      <c r="Z1110" s="22"/>
      <c r="AA1110" s="22"/>
    </row>
    <row r="1111" spans="26:27" x14ac:dyDescent="0.3">
      <c r="Z1111" s="22"/>
      <c r="AA1111" s="22"/>
    </row>
    <row r="1112" spans="26:27" x14ac:dyDescent="0.3">
      <c r="Z1112" s="22"/>
      <c r="AA1112" s="22"/>
    </row>
    <row r="1113" spans="26:27" x14ac:dyDescent="0.3">
      <c r="Z1113" s="22"/>
      <c r="AA1113" s="22"/>
    </row>
    <row r="1114" spans="26:27" x14ac:dyDescent="0.3">
      <c r="Z1114" s="22"/>
      <c r="AA1114" s="22"/>
    </row>
    <row r="1115" spans="26:27" x14ac:dyDescent="0.3">
      <c r="Z1115" s="22"/>
      <c r="AA1115" s="22"/>
    </row>
    <row r="1116" spans="26:27" x14ac:dyDescent="0.3">
      <c r="Z1116" s="22"/>
      <c r="AA1116" s="22"/>
    </row>
    <row r="1117" spans="26:27" x14ac:dyDescent="0.3">
      <c r="Z1117" s="22"/>
      <c r="AA1117" s="22"/>
    </row>
    <row r="1118" spans="26:27" x14ac:dyDescent="0.3">
      <c r="Z1118" s="22"/>
      <c r="AA1118" s="22"/>
    </row>
    <row r="1119" spans="26:27" x14ac:dyDescent="0.3">
      <c r="Z1119" s="22"/>
      <c r="AA1119" s="22"/>
    </row>
    <row r="1120" spans="26:27" x14ac:dyDescent="0.3">
      <c r="Z1120" s="22"/>
      <c r="AA1120" s="22"/>
    </row>
    <row r="1121" spans="26:27" x14ac:dyDescent="0.3">
      <c r="Z1121" s="22"/>
      <c r="AA1121" s="22"/>
    </row>
    <row r="1122" spans="26:27" x14ac:dyDescent="0.3">
      <c r="Z1122" s="22"/>
      <c r="AA1122" s="22"/>
    </row>
    <row r="1123" spans="26:27" x14ac:dyDescent="0.3">
      <c r="Z1123" s="22"/>
      <c r="AA1123" s="22"/>
    </row>
    <row r="1124" spans="26:27" x14ac:dyDescent="0.3">
      <c r="Z1124" s="22"/>
      <c r="AA1124" s="22"/>
    </row>
    <row r="1125" spans="26:27" x14ac:dyDescent="0.3">
      <c r="Z1125" s="22"/>
      <c r="AA1125" s="22"/>
    </row>
    <row r="1126" spans="26:27" x14ac:dyDescent="0.3">
      <c r="Z1126" s="22"/>
      <c r="AA1126" s="22"/>
    </row>
    <row r="1127" spans="26:27" x14ac:dyDescent="0.3">
      <c r="Z1127" s="22"/>
      <c r="AA1127" s="22"/>
    </row>
    <row r="1128" spans="26:27" x14ac:dyDescent="0.3">
      <c r="Z1128" s="22"/>
      <c r="AA1128" s="22"/>
    </row>
    <row r="1129" spans="26:27" x14ac:dyDescent="0.3">
      <c r="Z1129" s="22"/>
      <c r="AA1129" s="22"/>
    </row>
    <row r="1130" spans="26:27" x14ac:dyDescent="0.3">
      <c r="Z1130" s="22"/>
      <c r="AA1130" s="22"/>
    </row>
    <row r="1131" spans="26:27" x14ac:dyDescent="0.3">
      <c r="Z1131" s="22"/>
      <c r="AA1131" s="22"/>
    </row>
    <row r="1132" spans="26:27" x14ac:dyDescent="0.3">
      <c r="Z1132" s="22"/>
      <c r="AA1132" s="22"/>
    </row>
    <row r="1133" spans="26:27" x14ac:dyDescent="0.3">
      <c r="Z1133" s="22"/>
      <c r="AA1133" s="22"/>
    </row>
    <row r="1134" spans="26:27" x14ac:dyDescent="0.3">
      <c r="Z1134" s="22"/>
      <c r="AA1134" s="22"/>
    </row>
    <row r="1135" spans="26:27" x14ac:dyDescent="0.3">
      <c r="Z1135" s="22"/>
      <c r="AA1135" s="22"/>
    </row>
    <row r="1136" spans="26:27" x14ac:dyDescent="0.3">
      <c r="Z1136" s="22"/>
      <c r="AA1136" s="22"/>
    </row>
    <row r="1137" spans="26:27" x14ac:dyDescent="0.3">
      <c r="Z1137" s="22"/>
      <c r="AA1137" s="22"/>
    </row>
    <row r="1138" spans="26:27" x14ac:dyDescent="0.3">
      <c r="Z1138" s="22"/>
      <c r="AA1138" s="22"/>
    </row>
    <row r="1139" spans="26:27" x14ac:dyDescent="0.3">
      <c r="Z1139" s="22"/>
      <c r="AA1139" s="22"/>
    </row>
    <row r="1140" spans="26:27" x14ac:dyDescent="0.3">
      <c r="Z1140" s="22"/>
      <c r="AA1140" s="22"/>
    </row>
    <row r="1141" spans="26:27" x14ac:dyDescent="0.3">
      <c r="Z1141" s="22"/>
      <c r="AA1141" s="22"/>
    </row>
    <row r="1142" spans="26:27" x14ac:dyDescent="0.3">
      <c r="Z1142" s="22"/>
      <c r="AA1142" s="22"/>
    </row>
    <row r="1143" spans="26:27" x14ac:dyDescent="0.3">
      <c r="Z1143" s="22"/>
      <c r="AA1143" s="22"/>
    </row>
    <row r="1144" spans="26:27" x14ac:dyDescent="0.3">
      <c r="Z1144" s="22"/>
      <c r="AA1144" s="22"/>
    </row>
    <row r="1145" spans="26:27" x14ac:dyDescent="0.3">
      <c r="Z1145" s="22"/>
      <c r="AA1145" s="22"/>
    </row>
    <row r="1146" spans="26:27" x14ac:dyDescent="0.3">
      <c r="Z1146" s="22"/>
      <c r="AA1146" s="22"/>
    </row>
    <row r="1147" spans="26:27" x14ac:dyDescent="0.3">
      <c r="Z1147" s="22"/>
      <c r="AA1147" s="22"/>
    </row>
    <row r="1148" spans="26:27" x14ac:dyDescent="0.3">
      <c r="Z1148" s="22"/>
      <c r="AA1148" s="22"/>
    </row>
    <row r="1149" spans="26:27" x14ac:dyDescent="0.3">
      <c r="Z1149" s="22"/>
      <c r="AA1149" s="22"/>
    </row>
    <row r="1150" spans="26:27" x14ac:dyDescent="0.3">
      <c r="Z1150" s="22"/>
      <c r="AA1150" s="22"/>
    </row>
    <row r="1151" spans="26:27" x14ac:dyDescent="0.3">
      <c r="Z1151" s="22"/>
      <c r="AA1151" s="22"/>
    </row>
    <row r="1152" spans="26:27" x14ac:dyDescent="0.3">
      <c r="Z1152" s="22"/>
      <c r="AA1152" s="22"/>
    </row>
    <row r="1153" spans="26:27" x14ac:dyDescent="0.3">
      <c r="Z1153" s="22"/>
      <c r="AA1153" s="22"/>
    </row>
    <row r="1154" spans="26:27" x14ac:dyDescent="0.3">
      <c r="Z1154" s="22"/>
      <c r="AA1154" s="22"/>
    </row>
    <row r="1155" spans="26:27" x14ac:dyDescent="0.3">
      <c r="Z1155" s="22"/>
      <c r="AA1155" s="22"/>
    </row>
    <row r="1156" spans="26:27" x14ac:dyDescent="0.3">
      <c r="Z1156" s="22"/>
      <c r="AA1156" s="22"/>
    </row>
    <row r="1157" spans="26:27" x14ac:dyDescent="0.3">
      <c r="Z1157" s="22"/>
      <c r="AA1157" s="22"/>
    </row>
    <row r="1158" spans="26:27" x14ac:dyDescent="0.3">
      <c r="Z1158" s="22"/>
      <c r="AA1158" s="22"/>
    </row>
    <row r="1159" spans="26:27" x14ac:dyDescent="0.3">
      <c r="Z1159" s="22"/>
      <c r="AA1159" s="22"/>
    </row>
    <row r="1160" spans="26:27" x14ac:dyDescent="0.3">
      <c r="Z1160" s="22"/>
      <c r="AA1160" s="22"/>
    </row>
    <row r="1161" spans="26:27" x14ac:dyDescent="0.3">
      <c r="Z1161" s="22"/>
      <c r="AA1161" s="22"/>
    </row>
    <row r="1162" spans="26:27" x14ac:dyDescent="0.3">
      <c r="Z1162" s="22"/>
      <c r="AA1162" s="22"/>
    </row>
    <row r="1163" spans="26:27" x14ac:dyDescent="0.3">
      <c r="Z1163" s="22"/>
      <c r="AA1163" s="22"/>
    </row>
    <row r="1164" spans="26:27" x14ac:dyDescent="0.3">
      <c r="Z1164" s="22"/>
      <c r="AA1164" s="22"/>
    </row>
    <row r="1165" spans="26:27" x14ac:dyDescent="0.3">
      <c r="Z1165" s="22"/>
      <c r="AA1165" s="22"/>
    </row>
    <row r="1166" spans="26:27" x14ac:dyDescent="0.3">
      <c r="Z1166" s="22"/>
      <c r="AA1166" s="22"/>
    </row>
    <row r="1167" spans="26:27" x14ac:dyDescent="0.3">
      <c r="Z1167" s="22"/>
      <c r="AA1167" s="22"/>
    </row>
    <row r="1168" spans="26:27" x14ac:dyDescent="0.3">
      <c r="Z1168" s="22"/>
      <c r="AA1168" s="22"/>
    </row>
    <row r="1169" spans="26:27" x14ac:dyDescent="0.3">
      <c r="Z1169" s="22"/>
      <c r="AA1169" s="22"/>
    </row>
    <row r="1170" spans="26:27" x14ac:dyDescent="0.3">
      <c r="Z1170" s="22"/>
      <c r="AA1170" s="22"/>
    </row>
    <row r="1171" spans="26:27" x14ac:dyDescent="0.3">
      <c r="Z1171" s="22"/>
      <c r="AA1171" s="22"/>
    </row>
    <row r="1172" spans="26:27" x14ac:dyDescent="0.3">
      <c r="Z1172" s="22"/>
      <c r="AA1172" s="22"/>
    </row>
    <row r="1173" spans="26:27" x14ac:dyDescent="0.3">
      <c r="Z1173" s="22"/>
      <c r="AA1173" s="22"/>
    </row>
    <row r="1174" spans="26:27" x14ac:dyDescent="0.3">
      <c r="Z1174" s="22"/>
      <c r="AA1174" s="22"/>
    </row>
    <row r="1175" spans="26:27" x14ac:dyDescent="0.3">
      <c r="Z1175" s="22"/>
      <c r="AA1175" s="22"/>
    </row>
    <row r="1176" spans="26:27" x14ac:dyDescent="0.3">
      <c r="Z1176" s="22"/>
      <c r="AA1176" s="22"/>
    </row>
    <row r="1177" spans="26:27" x14ac:dyDescent="0.3">
      <c r="Z1177" s="22"/>
      <c r="AA1177" s="22"/>
    </row>
    <row r="1178" spans="26:27" x14ac:dyDescent="0.3">
      <c r="Z1178" s="22"/>
      <c r="AA1178" s="22"/>
    </row>
    <row r="1179" spans="26:27" x14ac:dyDescent="0.3">
      <c r="Z1179" s="22"/>
      <c r="AA1179" s="22"/>
    </row>
    <row r="1180" spans="26:27" x14ac:dyDescent="0.3">
      <c r="Z1180" s="22"/>
      <c r="AA1180" s="22"/>
    </row>
    <row r="1181" spans="26:27" x14ac:dyDescent="0.3">
      <c r="Z1181" s="22"/>
      <c r="AA1181" s="22"/>
    </row>
    <row r="1182" spans="26:27" x14ac:dyDescent="0.3">
      <c r="Z1182" s="22"/>
      <c r="AA1182" s="22"/>
    </row>
    <row r="1183" spans="26:27" x14ac:dyDescent="0.3">
      <c r="Z1183" s="22"/>
      <c r="AA1183" s="22"/>
    </row>
    <row r="1184" spans="26:27" x14ac:dyDescent="0.3">
      <c r="Z1184" s="22"/>
      <c r="AA1184" s="22"/>
    </row>
    <row r="1185" spans="26:27" x14ac:dyDescent="0.3">
      <c r="Z1185" s="22"/>
      <c r="AA1185" s="22"/>
    </row>
    <row r="1186" spans="26:27" x14ac:dyDescent="0.3">
      <c r="Z1186" s="22"/>
      <c r="AA1186" s="22"/>
    </row>
    <row r="1187" spans="26:27" x14ac:dyDescent="0.3">
      <c r="Z1187" s="22"/>
      <c r="AA1187" s="22"/>
    </row>
    <row r="1188" spans="26:27" x14ac:dyDescent="0.3">
      <c r="Z1188" s="22"/>
      <c r="AA1188" s="22"/>
    </row>
    <row r="1189" spans="26:27" x14ac:dyDescent="0.3">
      <c r="Z1189" s="22"/>
      <c r="AA1189" s="22"/>
    </row>
    <row r="1190" spans="26:27" x14ac:dyDescent="0.3">
      <c r="Z1190" s="22"/>
      <c r="AA1190" s="22"/>
    </row>
    <row r="1191" spans="26:27" x14ac:dyDescent="0.3">
      <c r="Z1191" s="22"/>
      <c r="AA1191" s="22"/>
    </row>
    <row r="1192" spans="26:27" x14ac:dyDescent="0.3">
      <c r="Z1192" s="22"/>
      <c r="AA1192" s="22"/>
    </row>
    <row r="1193" spans="26:27" x14ac:dyDescent="0.3">
      <c r="Z1193" s="22"/>
      <c r="AA1193" s="22"/>
    </row>
    <row r="1194" spans="26:27" x14ac:dyDescent="0.3">
      <c r="Z1194" s="22"/>
      <c r="AA1194" s="22"/>
    </row>
    <row r="1195" spans="26:27" x14ac:dyDescent="0.3">
      <c r="Z1195" s="22"/>
      <c r="AA1195" s="22"/>
    </row>
    <row r="1196" spans="26:27" x14ac:dyDescent="0.3">
      <c r="Z1196" s="22"/>
      <c r="AA1196" s="22"/>
    </row>
    <row r="1197" spans="26:27" x14ac:dyDescent="0.3">
      <c r="Z1197" s="22"/>
      <c r="AA1197" s="22"/>
    </row>
    <row r="1198" spans="26:27" x14ac:dyDescent="0.3">
      <c r="Z1198" s="22"/>
      <c r="AA1198" s="22"/>
    </row>
    <row r="1199" spans="26:27" x14ac:dyDescent="0.3">
      <c r="Z1199" s="22"/>
      <c r="AA1199" s="22"/>
    </row>
    <row r="1200" spans="26:27" x14ac:dyDescent="0.3">
      <c r="Z1200" s="22"/>
      <c r="AA1200" s="22"/>
    </row>
    <row r="1201" spans="26:27" x14ac:dyDescent="0.3">
      <c r="Z1201" s="22"/>
      <c r="AA1201" s="22"/>
    </row>
    <row r="1202" spans="26:27" x14ac:dyDescent="0.3">
      <c r="Z1202" s="22"/>
      <c r="AA1202" s="22"/>
    </row>
    <row r="1203" spans="26:27" x14ac:dyDescent="0.3">
      <c r="Z1203" s="22"/>
      <c r="AA1203" s="22"/>
    </row>
    <row r="1204" spans="26:27" x14ac:dyDescent="0.3">
      <c r="Z1204" s="22"/>
      <c r="AA1204" s="22"/>
    </row>
    <row r="1205" spans="26:27" x14ac:dyDescent="0.3">
      <c r="Z1205" s="22"/>
      <c r="AA1205" s="22"/>
    </row>
    <row r="1206" spans="26:27" x14ac:dyDescent="0.3">
      <c r="Z1206" s="22"/>
      <c r="AA1206" s="22"/>
    </row>
    <row r="1207" spans="26:27" x14ac:dyDescent="0.3">
      <c r="Z1207" s="22"/>
      <c r="AA1207" s="22"/>
    </row>
    <row r="1208" spans="26:27" x14ac:dyDescent="0.3">
      <c r="Z1208" s="22"/>
      <c r="AA1208" s="22"/>
    </row>
    <row r="1209" spans="26:27" x14ac:dyDescent="0.3">
      <c r="Z1209" s="22"/>
      <c r="AA1209" s="22"/>
    </row>
    <row r="1210" spans="26:27" x14ac:dyDescent="0.3">
      <c r="Z1210" s="22"/>
      <c r="AA1210" s="22"/>
    </row>
    <row r="1211" spans="26:27" x14ac:dyDescent="0.3">
      <c r="Z1211" s="22"/>
      <c r="AA1211" s="22"/>
    </row>
    <row r="1212" spans="26:27" x14ac:dyDescent="0.3">
      <c r="Z1212" s="22"/>
      <c r="AA1212" s="22"/>
    </row>
    <row r="1213" spans="26:27" x14ac:dyDescent="0.3">
      <c r="Z1213" s="22"/>
      <c r="AA1213" s="22"/>
    </row>
    <row r="1214" spans="26:27" x14ac:dyDescent="0.3">
      <c r="Z1214" s="22"/>
      <c r="AA1214" s="22"/>
    </row>
    <row r="1215" spans="26:27" x14ac:dyDescent="0.3">
      <c r="Z1215" s="22"/>
      <c r="AA1215" s="22"/>
    </row>
  </sheetData>
  <autoFilter ref="A1:Y330" xr:uid="{00000000-0001-0000-0000-000000000000}">
    <sortState xmlns:xlrd2="http://schemas.microsoft.com/office/spreadsheetml/2017/richdata2" ref="A203:Y330">
      <sortCondition ref="U1:U330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419F-0FD3-4245-82F1-F26D1A415C6C}">
  <dimension ref="A1:E7"/>
  <sheetViews>
    <sheetView showGridLines="0" workbookViewId="0">
      <selection activeCell="K7" sqref="K7"/>
    </sheetView>
  </sheetViews>
  <sheetFormatPr defaultRowHeight="16.5" x14ac:dyDescent="0.3"/>
  <cols>
    <col min="2" max="2" width="13.25" bestFit="1" customWidth="1"/>
    <col min="3" max="3" width="21.5" bestFit="1" customWidth="1"/>
    <col min="4" max="4" width="41" customWidth="1"/>
    <col min="5" max="5" width="11.875" bestFit="1" customWidth="1"/>
  </cols>
  <sheetData>
    <row r="1" spans="1:5" x14ac:dyDescent="0.3">
      <c r="A1" s="15"/>
    </row>
    <row r="2" spans="1:5" x14ac:dyDescent="0.3">
      <c r="A2" s="16" t="s">
        <v>1282</v>
      </c>
      <c r="B2" s="17" t="s">
        <v>1</v>
      </c>
    </row>
    <row r="3" spans="1:5" x14ac:dyDescent="0.3">
      <c r="A3" s="16"/>
    </row>
    <row r="6" spans="1:5" x14ac:dyDescent="0.3">
      <c r="A6" s="23" t="s">
        <v>1281</v>
      </c>
      <c r="B6" s="24" t="s">
        <v>1283</v>
      </c>
      <c r="C6" s="20" t="s">
        <v>1291</v>
      </c>
      <c r="D6" s="24" t="s">
        <v>1284</v>
      </c>
      <c r="E6" s="24" t="s">
        <v>1289</v>
      </c>
    </row>
    <row r="7" spans="1:5" ht="214.5" x14ac:dyDescent="0.3">
      <c r="A7" s="18">
        <v>1</v>
      </c>
      <c r="B7" s="18" t="s">
        <v>1287</v>
      </c>
      <c r="C7" s="18" t="s">
        <v>1292</v>
      </c>
      <c r="D7" s="19" t="s">
        <v>1286</v>
      </c>
      <c r="E7" s="18" t="s">
        <v>1288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4500-A479-4C59-8D54-8B04BCC49357}">
  <dimension ref="A1:U305"/>
  <sheetViews>
    <sheetView workbookViewId="0">
      <selection activeCell="B2" sqref="B2"/>
    </sheetView>
  </sheetViews>
  <sheetFormatPr defaultRowHeight="16.5" x14ac:dyDescent="0.3"/>
  <sheetData>
    <row r="1" spans="1:21" x14ac:dyDescent="0.3">
      <c r="A1" t="str" cm="1">
        <f t="array" aca="1" ref="A1:U305" ca="1">_xlfn.UNIQUE([1]기초데이터!$A$3:$U$307)</f>
        <v>순서</v>
      </c>
      <c r="B1" t="str">
        <f ca="1"/>
        <v>사번</v>
      </c>
      <c r="C1" t="str">
        <f ca="1"/>
        <v>성명</v>
      </c>
      <c r="D1" t="str">
        <f ca="1"/>
        <v>본부</v>
      </c>
      <c r="E1" t="str">
        <f ca="1"/>
        <v>팀</v>
      </c>
      <c r="F1" t="str">
        <f ca="1"/>
        <v>직무</v>
      </c>
      <c r="G1" t="str">
        <f ca="1"/>
        <v>직위</v>
      </c>
      <c r="H1" t="str">
        <f ca="1"/>
        <v>직책</v>
      </c>
      <c r="I1" t="str">
        <f ca="1"/>
        <v>입사일</v>
      </c>
      <c r="J1" t="str">
        <f ca="1"/>
        <v>정규직전환일</v>
      </c>
      <c r="K1" t="str">
        <f ca="1"/>
        <v>고용구분</v>
      </c>
      <c r="L1" t="str">
        <f ca="1"/>
        <v>대외제출용
인원구분</v>
      </c>
      <c r="M1" t="str">
        <f ca="1"/>
        <v>재직상태</v>
      </c>
      <c r="N1" t="str">
        <f ca="1"/>
        <v>주민등록번호</v>
      </c>
      <c r="O1" t="str">
        <f ca="1"/>
        <v>생년월일</v>
      </c>
      <c r="P1" t="str">
        <f ca="1"/>
        <v>남/여</v>
      </c>
      <c r="Q1" t="str">
        <f ca="1"/>
        <v>나이</v>
      </c>
      <c r="R1" t="str">
        <f ca="1"/>
        <v>만나이</v>
      </c>
      <c r="S1" t="str">
        <f ca="1"/>
        <v>핸드폰</v>
      </c>
      <c r="T1" t="str">
        <f ca="1"/>
        <v>주소</v>
      </c>
      <c r="U1" t="str">
        <f ca="1"/>
        <v>E-Mail</v>
      </c>
    </row>
    <row r="2" spans="1:21" x14ac:dyDescent="0.3">
      <c r="A2">
        <f ca="1"/>
        <v>1</v>
      </c>
      <c r="B2">
        <f ca="1"/>
        <v>16031401</v>
      </c>
      <c r="C2" t="str">
        <f ca="1"/>
        <v>빈준길</v>
      </c>
      <c r="D2" t="str">
        <f ca="1"/>
        <v>대표이사</v>
      </c>
      <c r="E2" t="str">
        <f ca="1"/>
        <v>대표이사</v>
      </c>
      <c r="F2" t="str">
        <f ca="1"/>
        <v>대표이사</v>
      </c>
      <c r="G2" t="str">
        <f ca="1"/>
        <v>Co-CEO</v>
      </c>
      <c r="H2" t="str">
        <f ca="1"/>
        <v>C-LEVEL</v>
      </c>
      <c r="I2">
        <f ca="1"/>
        <v>42443</v>
      </c>
      <c r="J2">
        <f ca="1"/>
        <v>42443</v>
      </c>
      <c r="K2" t="str">
        <f ca="1"/>
        <v>정규직</v>
      </c>
      <c r="L2" t="str">
        <f ca="1"/>
        <v>임원</v>
      </c>
      <c r="M2" t="str">
        <f ca="1"/>
        <v>재직</v>
      </c>
      <c r="N2" t="str">
        <f ca="1"/>
        <v>880328-1851618</v>
      </c>
      <c r="O2">
        <f ca="1"/>
        <v>32230</v>
      </c>
      <c r="P2" t="str">
        <f ca="1"/>
        <v>남</v>
      </c>
      <c r="Q2">
        <f ca="1"/>
        <v>38</v>
      </c>
      <c r="R2">
        <f ca="1"/>
        <v>37</v>
      </c>
      <c r="S2" t="str">
        <f ca="1"/>
        <v>010-5004-8779</v>
      </c>
      <c r="T2" t="str">
        <f ca="1"/>
        <v>서울특별시 영등포구 도신로29길 28, 202동 202호</v>
      </c>
      <c r="U2" t="str">
        <f ca="1"/>
        <v>jkbeen@neurophet.com</v>
      </c>
    </row>
    <row r="3" spans="1:21" x14ac:dyDescent="0.3">
      <c r="A3">
        <f ca="1"/>
        <v>2</v>
      </c>
      <c r="B3">
        <f ca="1"/>
        <v>16031402</v>
      </c>
      <c r="C3" t="str">
        <f ca="1"/>
        <v>김동현</v>
      </c>
      <c r="D3" t="str">
        <f ca="1"/>
        <v>대표이사</v>
      </c>
      <c r="E3" t="str">
        <f ca="1"/>
        <v>연구본부</v>
      </c>
      <c r="F3" t="str">
        <f ca="1"/>
        <v>공동대표이사 및 연구개발 총괄</v>
      </c>
      <c r="G3" t="str">
        <f ca="1"/>
        <v>Co-CEO / CTO</v>
      </c>
      <c r="H3" t="str">
        <f ca="1"/>
        <v>C-LEVEL</v>
      </c>
      <c r="I3">
        <f ca="1"/>
        <v>42443</v>
      </c>
      <c r="J3">
        <f ca="1"/>
        <v>42443</v>
      </c>
      <c r="K3" t="str">
        <f ca="1"/>
        <v>정규직</v>
      </c>
      <c r="L3" t="str">
        <f ca="1"/>
        <v>임원</v>
      </c>
      <c r="M3" t="str">
        <f ca="1"/>
        <v>재직</v>
      </c>
      <c r="N3" t="str">
        <f ca="1"/>
        <v>870721-1860421</v>
      </c>
      <c r="O3">
        <f ca="1"/>
        <v>31979</v>
      </c>
      <c r="P3" t="str">
        <f ca="1"/>
        <v>남</v>
      </c>
      <c r="Q3">
        <f ca="1"/>
        <v>39</v>
      </c>
      <c r="R3">
        <f ca="1"/>
        <v>37</v>
      </c>
      <c r="S3" t="str">
        <f ca="1"/>
        <v>010-9361-3781</v>
      </c>
      <c r="T3" t="str">
        <f ca="1"/>
        <v>경기도 남양주시 경춘로 859번길 17-26(금곡동)</v>
      </c>
      <c r="U3" t="str">
        <f ca="1"/>
        <v>donghyeon.kim@neurophet.com</v>
      </c>
    </row>
    <row r="4" spans="1:21" x14ac:dyDescent="0.3">
      <c r="A4">
        <f ca="1"/>
        <v>3</v>
      </c>
      <c r="B4">
        <f ca="1"/>
        <v>17030101</v>
      </c>
      <c r="C4" t="str">
        <f ca="1"/>
        <v>윤계현</v>
      </c>
      <c r="D4" t="str">
        <f ca="1"/>
        <v>경영본부</v>
      </c>
      <c r="E4" t="str">
        <f ca="1"/>
        <v>자금팀</v>
      </c>
      <c r="F4" t="str">
        <f ca="1"/>
        <v>재무</v>
      </c>
      <c r="G4" t="str">
        <f ca="1"/>
        <v>Lead</v>
      </c>
      <c r="H4" t="str">
        <f ca="1"/>
        <v>팀리드</v>
      </c>
      <c r="I4">
        <f ca="1"/>
        <v>42795</v>
      </c>
      <c r="J4">
        <f ca="1"/>
        <v>42795</v>
      </c>
      <c r="K4" t="str">
        <f ca="1"/>
        <v>정규직</v>
      </c>
      <c r="L4" t="str">
        <f ca="1"/>
        <v>사무직</v>
      </c>
      <c r="M4" t="str">
        <f ca="1"/>
        <v>재직</v>
      </c>
      <c r="N4" t="str">
        <f ca="1"/>
        <v>780715-1473610</v>
      </c>
      <c r="O4">
        <f ca="1"/>
        <v>28686</v>
      </c>
      <c r="P4" t="str">
        <f ca="1"/>
        <v>남</v>
      </c>
      <c r="Q4">
        <f ca="1"/>
        <v>48</v>
      </c>
      <c r="R4">
        <f ca="1"/>
        <v>46</v>
      </c>
      <c r="S4" t="str">
        <f ca="1"/>
        <v>010-9144-4813</v>
      </c>
      <c r="T4" t="str">
        <f ca="1"/>
        <v>서울특별시 강동구 천호동 21-205번지</v>
      </c>
      <c r="U4" t="str">
        <f ca="1"/>
        <v>khyoon@neurophet.com</v>
      </c>
    </row>
    <row r="5" spans="1:21" x14ac:dyDescent="0.3">
      <c r="A5">
        <f ca="1"/>
        <v>4</v>
      </c>
      <c r="B5">
        <f ca="1"/>
        <v>17122101</v>
      </c>
      <c r="C5" t="str">
        <f ca="1"/>
        <v>한상진</v>
      </c>
      <c r="D5" t="str">
        <f ca="1"/>
        <v>프로덕트본부</v>
      </c>
      <c r="E5" t="str">
        <f ca="1"/>
        <v>PM팀</v>
      </c>
      <c r="F5" t="str">
        <f ca="1"/>
        <v>PM</v>
      </c>
      <c r="G5" t="str">
        <f ca="1"/>
        <v>Lead</v>
      </c>
      <c r="H5" t="str">
        <f ca="1"/>
        <v>팀리드</v>
      </c>
      <c r="I5">
        <f ca="1"/>
        <v>43090</v>
      </c>
      <c r="J5">
        <f ca="1"/>
        <v>43090</v>
      </c>
      <c r="K5" t="str">
        <f ca="1"/>
        <v>정규직</v>
      </c>
      <c r="L5" t="str">
        <f ca="1"/>
        <v>연구직</v>
      </c>
      <c r="M5" t="str">
        <f ca="1"/>
        <v>재직</v>
      </c>
      <c r="N5" t="str">
        <f ca="1"/>
        <v>880803-1490616</v>
      </c>
      <c r="O5">
        <f ca="1"/>
        <v>32358</v>
      </c>
      <c r="P5" t="str">
        <f ca="1"/>
        <v>남</v>
      </c>
      <c r="Q5">
        <f ca="1"/>
        <v>38</v>
      </c>
      <c r="R5">
        <f ca="1"/>
        <v>36</v>
      </c>
      <c r="S5" t="str">
        <f ca="1"/>
        <v>010-2606-0461</v>
      </c>
      <c r="T5" t="str">
        <f ca="1"/>
        <v>서울특별시 서초구 강남대로8길 66-5 302호</v>
      </c>
      <c r="U5" t="str">
        <f ca="1"/>
        <v>sjhan@neurophet.com</v>
      </c>
    </row>
    <row r="6" spans="1:21" x14ac:dyDescent="0.3">
      <c r="A6">
        <f ca="1"/>
        <v>5</v>
      </c>
      <c r="B6">
        <f ca="1"/>
        <v>19020102</v>
      </c>
      <c r="C6" t="str">
        <f ca="1"/>
        <v>김태영</v>
      </c>
      <c r="D6" t="str">
        <f ca="1"/>
        <v>연구본부</v>
      </c>
      <c r="E6" t="str">
        <f ca="1"/>
        <v>임상연구실</v>
      </c>
      <c r="F6" t="str">
        <f ca="1"/>
        <v>임상연구</v>
      </c>
      <c r="G6" t="str">
        <f ca="1"/>
        <v>Director</v>
      </c>
      <c r="H6" t="str">
        <f ca="1"/>
        <v>실리드</v>
      </c>
      <c r="I6">
        <f ca="1"/>
        <v>43507</v>
      </c>
      <c r="J6">
        <f ca="1"/>
        <v>43507</v>
      </c>
      <c r="K6" t="str">
        <f ca="1"/>
        <v>정규직</v>
      </c>
      <c r="L6" t="str">
        <f ca="1"/>
        <v>연구직</v>
      </c>
      <c r="M6" t="str">
        <f ca="1"/>
        <v>재직</v>
      </c>
      <c r="N6" t="str">
        <f ca="1"/>
        <v>900205-2588017</v>
      </c>
      <c r="O6">
        <f ca="1"/>
        <v>32909</v>
      </c>
      <c r="P6" t="str">
        <f ca="1"/>
        <v>여</v>
      </c>
      <c r="Q6">
        <f ca="1"/>
        <v>36</v>
      </c>
      <c r="R6">
        <f ca="1"/>
        <v>35</v>
      </c>
      <c r="S6" t="str">
        <f ca="1"/>
        <v>010-3757-8384</v>
      </c>
      <c r="T6" t="str">
        <f ca="1"/>
        <v xml:space="preserve">경기도 용인시 수지구 포은대로 경기도 용인시 수지구 포은대로313번길 7-10 105동 3002호    </v>
      </c>
      <c r="U6" t="str">
        <f ca="1"/>
        <v>ty.kim@neurophet.com</v>
      </c>
    </row>
    <row r="7" spans="1:21" x14ac:dyDescent="0.3">
      <c r="A7">
        <f ca="1"/>
        <v>6</v>
      </c>
      <c r="B7">
        <f ca="1"/>
        <v>20020102</v>
      </c>
      <c r="C7" t="str">
        <f ca="1"/>
        <v>이민호</v>
      </c>
      <c r="D7" t="str">
        <f ca="1"/>
        <v>연구본부</v>
      </c>
      <c r="E7" t="str">
        <f ca="1"/>
        <v>AR실</v>
      </c>
      <c r="F7" t="str">
        <f ca="1"/>
        <v>AI연구</v>
      </c>
      <c r="G7" t="str">
        <f ca="1"/>
        <v>Director</v>
      </c>
      <c r="H7" t="str">
        <f ca="1"/>
        <v>실리드</v>
      </c>
      <c r="I7">
        <f ca="1"/>
        <v>43862</v>
      </c>
      <c r="J7">
        <f ca="1"/>
        <v>43862</v>
      </c>
      <c r="K7" t="str">
        <f ca="1"/>
        <v>정규직</v>
      </c>
      <c r="L7" t="str">
        <f ca="1"/>
        <v>연구직</v>
      </c>
      <c r="M7" t="str">
        <f ca="1"/>
        <v>재직</v>
      </c>
      <c r="N7" t="str">
        <f ca="1"/>
        <v>820812-1702737</v>
      </c>
      <c r="O7">
        <f ca="1"/>
        <v>30175</v>
      </c>
      <c r="P7" t="str">
        <f ca="1"/>
        <v>남</v>
      </c>
      <c r="Q7">
        <f ca="1"/>
        <v>44</v>
      </c>
      <c r="R7">
        <f ca="1"/>
        <v>42</v>
      </c>
      <c r="S7" t="str">
        <f ca="1"/>
        <v>010-2780-2180</v>
      </c>
      <c r="T7" t="str">
        <f ca="1"/>
        <v xml:space="preserve">경기도 고양시 일산서구 덕산로 277-4, 아펠리움 101동 301호    </v>
      </c>
      <c r="U7" t="str">
        <f ca="1"/>
        <v>minho.lee@neurophet.com</v>
      </c>
    </row>
    <row r="8" spans="1:21" x14ac:dyDescent="0.3">
      <c r="A8">
        <f ca="1"/>
        <v>7</v>
      </c>
      <c r="B8">
        <f ca="1"/>
        <v>20030103</v>
      </c>
      <c r="C8" t="str">
        <f ca="1"/>
        <v>이창훈</v>
      </c>
      <c r="D8" t="str">
        <f ca="1"/>
        <v>프로덕트본부</v>
      </c>
      <c r="E8" t="str">
        <f ca="1"/>
        <v>개발1실</v>
      </c>
      <c r="F8" t="str">
        <f ca="1"/>
        <v>개발</v>
      </c>
      <c r="G8" t="str">
        <f ca="1"/>
        <v>Director</v>
      </c>
      <c r="H8" t="str">
        <f ca="1"/>
        <v>실리드</v>
      </c>
      <c r="I8">
        <f ca="1"/>
        <v>43891</v>
      </c>
      <c r="J8">
        <f ca="1"/>
        <v>43891</v>
      </c>
      <c r="K8" t="str">
        <f ca="1"/>
        <v>정규직</v>
      </c>
      <c r="L8" t="str">
        <f ca="1"/>
        <v>연구직</v>
      </c>
      <c r="M8" t="str">
        <f ca="1"/>
        <v>재직</v>
      </c>
      <c r="N8" t="str">
        <f ca="1"/>
        <v>750223-1403514</v>
      </c>
      <c r="O8">
        <f ca="1"/>
        <v>27417</v>
      </c>
      <c r="P8" t="str">
        <f ca="1"/>
        <v>남</v>
      </c>
      <c r="Q8">
        <f ca="1"/>
        <v>51</v>
      </c>
      <c r="R8">
        <f ca="1"/>
        <v>50</v>
      </c>
      <c r="S8" t="str">
        <f ca="1"/>
        <v>010-2744-4757</v>
      </c>
      <c r="T8" t="str">
        <f ca="1"/>
        <v xml:space="preserve">서울특별시 강동구 양재대로 1706(아남아파트) 8동 1804호    </v>
      </c>
      <c r="U8" t="str">
        <f ca="1"/>
        <v>leech.lee@neurophet.com</v>
      </c>
    </row>
    <row r="9" spans="1:21" x14ac:dyDescent="0.3">
      <c r="A9">
        <f ca="1"/>
        <v>8</v>
      </c>
      <c r="B9">
        <f ca="1"/>
        <v>20030106</v>
      </c>
      <c r="C9" t="str">
        <f ca="1"/>
        <v>허진이</v>
      </c>
      <c r="D9" t="str">
        <f ca="1"/>
        <v>대표이사</v>
      </c>
      <c r="E9" t="str">
        <f ca="1"/>
        <v>인사팀</v>
      </c>
      <c r="F9" t="str">
        <f ca="1"/>
        <v>인사</v>
      </c>
      <c r="G9" t="str">
        <f ca="1"/>
        <v>Member</v>
      </c>
      <c r="H9" t="str">
        <f ca="1"/>
        <v>멤버</v>
      </c>
      <c r="I9">
        <f ca="1"/>
        <v>43891</v>
      </c>
      <c r="J9">
        <f ca="1"/>
        <v>43891</v>
      </c>
      <c r="K9" t="str">
        <f ca="1"/>
        <v>정규직</v>
      </c>
      <c r="L9" t="str">
        <f ca="1"/>
        <v>사무직</v>
      </c>
      <c r="M9" t="str">
        <f ca="1"/>
        <v>재직</v>
      </c>
      <c r="N9" t="str">
        <f ca="1"/>
        <v>981117-2474420</v>
      </c>
      <c r="O9">
        <f ca="1"/>
        <v>36116</v>
      </c>
      <c r="P9" t="str">
        <f ca="1"/>
        <v>여</v>
      </c>
      <c r="Q9">
        <f ca="1"/>
        <v>28</v>
      </c>
      <c r="R9">
        <f ca="1"/>
        <v>26</v>
      </c>
      <c r="S9" t="str">
        <f ca="1"/>
        <v>010-5592-1057</v>
      </c>
      <c r="T9" t="str">
        <f ca="1"/>
        <v>서울특별시 마포구 토정로 31길 24 마포리버파크 109동 402호</v>
      </c>
      <c r="U9" t="str">
        <f ca="1"/>
        <v>jiniheo@neurophet.com</v>
      </c>
    </row>
    <row r="10" spans="1:21" x14ac:dyDescent="0.3">
      <c r="A10">
        <f ca="1"/>
        <v>9</v>
      </c>
      <c r="B10">
        <f ca="1"/>
        <v>20031201</v>
      </c>
      <c r="C10" t="str">
        <f ca="1"/>
        <v>경채윤</v>
      </c>
      <c r="D10" t="str">
        <f ca="1"/>
        <v>프로덕트본부</v>
      </c>
      <c r="E10" t="str">
        <f ca="1"/>
        <v>SCM팀</v>
      </c>
      <c r="F10" t="str">
        <f ca="1"/>
        <v>생산관리</v>
      </c>
      <c r="G10" t="str">
        <f ca="1"/>
        <v>Member</v>
      </c>
      <c r="H10" t="str">
        <f ca="1"/>
        <v>멤버</v>
      </c>
      <c r="I10">
        <f ca="1"/>
        <v>43902</v>
      </c>
      <c r="J10">
        <f ca="1"/>
        <v>43902</v>
      </c>
      <c r="K10" t="str">
        <f ca="1"/>
        <v>정규직</v>
      </c>
      <c r="L10" t="str">
        <f ca="1"/>
        <v>연구직</v>
      </c>
      <c r="M10" t="str">
        <f ca="1"/>
        <v>재직</v>
      </c>
      <c r="N10" t="str">
        <f ca="1"/>
        <v>890320-2214115</v>
      </c>
      <c r="O10">
        <f ca="1"/>
        <v>32587</v>
      </c>
      <c r="P10" t="str">
        <f ca="1"/>
        <v>여</v>
      </c>
      <c r="Q10">
        <f ca="1"/>
        <v>37</v>
      </c>
      <c r="R10">
        <f ca="1"/>
        <v>36</v>
      </c>
      <c r="S10" t="str">
        <f ca="1"/>
        <v>010-5049-7358</v>
      </c>
      <c r="T10" t="str">
        <f ca="1"/>
        <v>경기도 화성시 영통로 61번길 10 신영통현대 1단지 103동 1003호</v>
      </c>
      <c r="U10" t="str">
        <f ca="1"/>
        <v>cykyung@neurophet.com</v>
      </c>
    </row>
    <row r="11" spans="1:21" x14ac:dyDescent="0.3">
      <c r="A11">
        <f ca="1"/>
        <v>10</v>
      </c>
      <c r="B11">
        <f ca="1"/>
        <v>20051801</v>
      </c>
      <c r="C11" t="str">
        <f ca="1"/>
        <v>김은영</v>
      </c>
      <c r="D11" t="str">
        <f ca="1"/>
        <v>연구본부</v>
      </c>
      <c r="E11" t="str">
        <f ca="1"/>
        <v>NI실</v>
      </c>
      <c r="F11" t="str">
        <f ca="1"/>
        <v>뇌영상분석연구</v>
      </c>
      <c r="G11" t="str">
        <f ca="1"/>
        <v>Director</v>
      </c>
      <c r="H11" t="str">
        <f ca="1"/>
        <v>실리드</v>
      </c>
      <c r="I11">
        <f ca="1"/>
        <v>43969</v>
      </c>
      <c r="J11">
        <f ca="1"/>
        <v>43969</v>
      </c>
      <c r="K11" t="str">
        <f ca="1"/>
        <v>정규직</v>
      </c>
      <c r="L11" t="str">
        <f ca="1"/>
        <v>연구직</v>
      </c>
      <c r="M11" t="str">
        <f ca="1"/>
        <v>재직</v>
      </c>
      <c r="N11" t="str">
        <f ca="1"/>
        <v>820111-2024619</v>
      </c>
      <c r="O11">
        <f ca="1"/>
        <v>29962</v>
      </c>
      <c r="P11" t="str">
        <f ca="1"/>
        <v>여</v>
      </c>
      <c r="Q11">
        <f ca="1"/>
        <v>44</v>
      </c>
      <c r="R11">
        <f ca="1"/>
        <v>43</v>
      </c>
      <c r="S11" t="str">
        <f ca="1"/>
        <v>010-4022-3152</v>
      </c>
      <c r="T11" t="str">
        <f ca="1"/>
        <v>서울특별시 강남구 개포로310, 148동 2304호</v>
      </c>
      <c r="U11" t="str">
        <f ca="1"/>
        <v>reginaeunyoungkim@neurophet.com</v>
      </c>
    </row>
    <row r="12" spans="1:21" x14ac:dyDescent="0.3">
      <c r="A12">
        <f ca="1"/>
        <v>11</v>
      </c>
      <c r="B12">
        <f ca="1"/>
        <v>20062901</v>
      </c>
      <c r="C12" t="str">
        <f ca="1"/>
        <v>류준환</v>
      </c>
      <c r="D12" t="str">
        <f ca="1"/>
        <v>연구본부</v>
      </c>
      <c r="E12" t="str">
        <f ca="1"/>
        <v>AR1팀</v>
      </c>
      <c r="F12" t="str">
        <f ca="1"/>
        <v>AI연구</v>
      </c>
      <c r="G12" t="str">
        <f ca="1"/>
        <v>Lead</v>
      </c>
      <c r="H12" t="str">
        <f ca="1"/>
        <v>팀리드</v>
      </c>
      <c r="I12">
        <f ca="1"/>
        <v>44011</v>
      </c>
      <c r="J12">
        <f ca="1"/>
        <v>44011</v>
      </c>
      <c r="K12" t="str">
        <f ca="1"/>
        <v>정규직</v>
      </c>
      <c r="L12" t="str">
        <f ca="1"/>
        <v>연구직</v>
      </c>
      <c r="M12" t="str">
        <f ca="1"/>
        <v>재직</v>
      </c>
      <c r="N12" t="str">
        <f ca="1"/>
        <v>891019-1047818</v>
      </c>
      <c r="O12">
        <f ca="1"/>
        <v>32800</v>
      </c>
      <c r="P12" t="str">
        <f ca="1"/>
        <v>남</v>
      </c>
      <c r="Q12">
        <f ca="1"/>
        <v>37</v>
      </c>
      <c r="R12">
        <f ca="1"/>
        <v>35</v>
      </c>
      <c r="S12" t="str">
        <f ca="1"/>
        <v>010-6229-1650</v>
      </c>
      <c r="T12" t="str">
        <f ca="1"/>
        <v xml:space="preserve">경기도 성남시 분당구 정자2동 한솔마을 4단지 415 - 1801호 </v>
      </c>
      <c r="U12" t="str">
        <f ca="1"/>
        <v>clarence@neurophet.com</v>
      </c>
    </row>
    <row r="13" spans="1:21" x14ac:dyDescent="0.3">
      <c r="A13">
        <f ca="1"/>
        <v>12</v>
      </c>
      <c r="B13">
        <f ca="1"/>
        <v>20070103</v>
      </c>
      <c r="C13" t="str">
        <f ca="1"/>
        <v>송단비</v>
      </c>
      <c r="D13" t="str">
        <f ca="1"/>
        <v>연구본부</v>
      </c>
      <c r="E13" t="str">
        <f ca="1"/>
        <v>임상팀</v>
      </c>
      <c r="F13" t="str">
        <f ca="1"/>
        <v>임상연구</v>
      </c>
      <c r="G13" t="str">
        <f ca="1"/>
        <v>Lead</v>
      </c>
      <c r="H13" t="str">
        <f ca="1"/>
        <v>팀리드</v>
      </c>
      <c r="I13">
        <f ca="1"/>
        <v>44013</v>
      </c>
      <c r="J13">
        <f ca="1"/>
        <v>44013</v>
      </c>
      <c r="K13" t="str">
        <f ca="1"/>
        <v>정규직</v>
      </c>
      <c r="L13" t="str">
        <f ca="1"/>
        <v>연구직</v>
      </c>
      <c r="M13" t="str">
        <f ca="1"/>
        <v>재직</v>
      </c>
      <c r="N13" t="str">
        <f ca="1"/>
        <v>880503-2408617</v>
      </c>
      <c r="O13">
        <f ca="1"/>
        <v>32266</v>
      </c>
      <c r="P13" t="str">
        <f ca="1"/>
        <v>여</v>
      </c>
      <c r="Q13">
        <f ca="1"/>
        <v>38</v>
      </c>
      <c r="R13">
        <f ca="1"/>
        <v>36</v>
      </c>
      <c r="S13" t="str">
        <f ca="1"/>
        <v>010-9053-1523</v>
      </c>
      <c r="T13" t="str">
        <f ca="1"/>
        <v>서울특별시 송파구 백제고분로12길 3-22 302호</v>
      </c>
      <c r="U13" t="str">
        <f ca="1"/>
        <v>dbsong@neurophet.com</v>
      </c>
    </row>
    <row r="14" spans="1:21" x14ac:dyDescent="0.3">
      <c r="A14">
        <f ca="1"/>
        <v>13</v>
      </c>
      <c r="B14">
        <f ca="1"/>
        <v>20082401</v>
      </c>
      <c r="C14" t="str">
        <f ca="1"/>
        <v>정소리</v>
      </c>
      <c r="D14" t="str">
        <f ca="1"/>
        <v>경영본부</v>
      </c>
      <c r="E14" t="str">
        <f ca="1"/>
        <v>회계팀</v>
      </c>
      <c r="F14" t="str">
        <f ca="1"/>
        <v>회계</v>
      </c>
      <c r="G14" t="str">
        <f ca="1"/>
        <v>Lead</v>
      </c>
      <c r="H14" t="str">
        <f ca="1"/>
        <v>팀리드</v>
      </c>
      <c r="I14">
        <f ca="1"/>
        <v>44067</v>
      </c>
      <c r="J14">
        <f ca="1"/>
        <v>44228</v>
      </c>
      <c r="K14" t="str">
        <f ca="1"/>
        <v>정규직</v>
      </c>
      <c r="L14" t="str">
        <f ca="1"/>
        <v>사무직</v>
      </c>
      <c r="M14" t="str">
        <f ca="1"/>
        <v>재직</v>
      </c>
      <c r="N14" t="str">
        <f ca="1"/>
        <v>921016-2157219</v>
      </c>
      <c r="O14">
        <f ca="1"/>
        <v>33893</v>
      </c>
      <c r="P14" t="str">
        <f ca="1"/>
        <v>여</v>
      </c>
      <c r="Q14">
        <f ca="1"/>
        <v>34</v>
      </c>
      <c r="R14">
        <f ca="1"/>
        <v>32</v>
      </c>
      <c r="S14" t="str">
        <f ca="1"/>
        <v>010-5247-7407</v>
      </c>
      <c r="T14" t="str">
        <f ca="1"/>
        <v>경기도 하남시 감일백제로 65, 감일한라비발디 1203동 2103호</v>
      </c>
      <c r="U14" t="str">
        <f ca="1"/>
        <v>srjeong@neurophet.com</v>
      </c>
    </row>
    <row r="15" spans="1:21" x14ac:dyDescent="0.3">
      <c r="A15">
        <f ca="1"/>
        <v>14</v>
      </c>
      <c r="B15">
        <f ca="1"/>
        <v>20100101</v>
      </c>
      <c r="C15" t="str">
        <f ca="1"/>
        <v>권민영</v>
      </c>
      <c r="D15" t="str">
        <f ca="1"/>
        <v>대표이사</v>
      </c>
      <c r="E15" t="str">
        <f ca="1"/>
        <v>SV팀</v>
      </c>
      <c r="F15" t="str">
        <f ca="1"/>
        <v>품질</v>
      </c>
      <c r="G15" t="str">
        <f ca="1"/>
        <v>Member</v>
      </c>
      <c r="H15" t="str">
        <f ca="1"/>
        <v>멤버</v>
      </c>
      <c r="I15">
        <f ca="1"/>
        <v>43913</v>
      </c>
      <c r="J15">
        <f ca="1"/>
        <v>44105</v>
      </c>
      <c r="K15" t="str">
        <f ca="1"/>
        <v>정규직</v>
      </c>
      <c r="L15" t="str">
        <f ca="1"/>
        <v>사무직</v>
      </c>
      <c r="M15" t="str">
        <f ca="1"/>
        <v>재직</v>
      </c>
      <c r="N15" t="str">
        <f ca="1"/>
        <v>960527-2659712</v>
      </c>
      <c r="O15">
        <f ca="1"/>
        <v>35212</v>
      </c>
      <c r="P15" t="str">
        <f ca="1"/>
        <v>여</v>
      </c>
      <c r="Q15">
        <f ca="1"/>
        <v>30</v>
      </c>
      <c r="R15">
        <f ca="1"/>
        <v>28</v>
      </c>
      <c r="S15" t="str">
        <f ca="1"/>
        <v>010-6395-6416</v>
      </c>
      <c r="T15" t="str">
        <f ca="1"/>
        <v>서울특별시 송파구 송파대로 145, 1029호</v>
      </c>
      <c r="U15" t="str">
        <f ca="1"/>
        <v>mykwon@neurophet.com</v>
      </c>
    </row>
    <row r="16" spans="1:21" x14ac:dyDescent="0.3">
      <c r="A16">
        <f ca="1"/>
        <v>15</v>
      </c>
      <c r="B16">
        <f ca="1"/>
        <v>20100502</v>
      </c>
      <c r="C16" t="str">
        <f ca="1"/>
        <v>강슬기</v>
      </c>
      <c r="D16" t="str">
        <f ca="1"/>
        <v>프로덕트본부</v>
      </c>
      <c r="E16" t="str">
        <f ca="1"/>
        <v>UX팀</v>
      </c>
      <c r="F16" t="str">
        <f ca="1"/>
        <v>디자인</v>
      </c>
      <c r="G16" t="str">
        <f ca="1"/>
        <v>Member</v>
      </c>
      <c r="H16" t="str">
        <f ca="1"/>
        <v>멤버</v>
      </c>
      <c r="I16">
        <f ca="1"/>
        <v>44109</v>
      </c>
      <c r="J16">
        <f ca="1"/>
        <v>44109</v>
      </c>
      <c r="K16" t="str">
        <f ca="1"/>
        <v>정규직</v>
      </c>
      <c r="L16" t="str">
        <f ca="1"/>
        <v>연구직</v>
      </c>
      <c r="M16" t="str">
        <f ca="1"/>
        <v>재직</v>
      </c>
      <c r="N16" t="str">
        <f ca="1"/>
        <v>940216-2852529</v>
      </c>
      <c r="O16">
        <f ca="1"/>
        <v>34381</v>
      </c>
      <c r="P16" t="str">
        <f ca="1"/>
        <v>여</v>
      </c>
      <c r="Q16">
        <f ca="1"/>
        <v>32</v>
      </c>
      <c r="R16">
        <f ca="1"/>
        <v>31</v>
      </c>
      <c r="S16" t="str">
        <f ca="1"/>
        <v>010-6419-4710</v>
      </c>
      <c r="T16" t="str">
        <f ca="1"/>
        <v>경기도 고양시 덕양구 세솔로1길 5-12 202호</v>
      </c>
      <c r="U16" t="str">
        <f ca="1"/>
        <v>sgkang@neurophet.com</v>
      </c>
    </row>
    <row r="17" spans="1:21" x14ac:dyDescent="0.3">
      <c r="A17">
        <f ca="1"/>
        <v>16</v>
      </c>
      <c r="B17">
        <f ca="1"/>
        <v>20102901</v>
      </c>
      <c r="C17" t="str">
        <f ca="1"/>
        <v>이지연</v>
      </c>
      <c r="D17" t="str">
        <f ca="1"/>
        <v>연구본부</v>
      </c>
      <c r="E17" t="str">
        <f ca="1"/>
        <v>AR2팀</v>
      </c>
      <c r="F17" t="str">
        <f ca="1"/>
        <v>AI연구</v>
      </c>
      <c r="G17" t="str">
        <f ca="1"/>
        <v>Lead</v>
      </c>
      <c r="H17" t="str">
        <f ca="1"/>
        <v>팀리드</v>
      </c>
      <c r="I17">
        <f ca="1"/>
        <v>44133</v>
      </c>
      <c r="J17">
        <f ca="1"/>
        <v>44133</v>
      </c>
      <c r="K17" t="str">
        <f ca="1"/>
        <v>정규직</v>
      </c>
      <c r="L17" t="str">
        <f ca="1"/>
        <v>연구직</v>
      </c>
      <c r="M17" t="str">
        <f ca="1"/>
        <v>재직</v>
      </c>
      <c r="N17" t="str">
        <f ca="1"/>
        <v>940425-2001310</v>
      </c>
      <c r="O17">
        <f ca="1"/>
        <v>34449</v>
      </c>
      <c r="P17" t="str">
        <f ca="1"/>
        <v>여</v>
      </c>
      <c r="Q17">
        <f ca="1"/>
        <v>32</v>
      </c>
      <c r="R17">
        <f ca="1"/>
        <v>30</v>
      </c>
      <c r="S17" t="str">
        <f ca="1"/>
        <v>010-3502-5671</v>
      </c>
      <c r="T17" t="str">
        <f ca="1"/>
        <v>서울특별시 종로구 낙산길198, 201동 303호</v>
      </c>
      <c r="U17" t="str">
        <f ca="1"/>
        <v>jylee@neurophet.com</v>
      </c>
    </row>
    <row r="18" spans="1:21" x14ac:dyDescent="0.3">
      <c r="A18">
        <f ca="1"/>
        <v>17</v>
      </c>
      <c r="B18">
        <f ca="1"/>
        <v>20110201</v>
      </c>
      <c r="C18" t="str">
        <f ca="1"/>
        <v>박민지</v>
      </c>
      <c r="D18" t="str">
        <f ca="1"/>
        <v>프로덕트본부</v>
      </c>
      <c r="E18" t="str">
        <f ca="1"/>
        <v>UX팀</v>
      </c>
      <c r="F18" t="str">
        <f ca="1"/>
        <v>UX기획</v>
      </c>
      <c r="G18" t="str">
        <f ca="1"/>
        <v>Lead</v>
      </c>
      <c r="H18" t="str">
        <f ca="1"/>
        <v>팀리드</v>
      </c>
      <c r="I18">
        <f ca="1"/>
        <v>44137</v>
      </c>
      <c r="J18">
        <f ca="1"/>
        <v>44137</v>
      </c>
      <c r="K18" t="str">
        <f ca="1"/>
        <v>정규직</v>
      </c>
      <c r="L18" t="str">
        <f ca="1"/>
        <v>연구직</v>
      </c>
      <c r="M18" t="str">
        <f ca="1"/>
        <v>재직</v>
      </c>
      <c r="N18" t="str">
        <f ca="1"/>
        <v>890723-2163515</v>
      </c>
      <c r="O18">
        <f ca="1"/>
        <v>32712</v>
      </c>
      <c r="P18" t="str">
        <f ca="1"/>
        <v>여</v>
      </c>
      <c r="Q18">
        <f ca="1"/>
        <v>37</v>
      </c>
      <c r="R18">
        <f ca="1"/>
        <v>35</v>
      </c>
      <c r="S18" t="str">
        <f ca="1"/>
        <v>010-6529-0723</v>
      </c>
      <c r="T18" t="str">
        <f ca="1"/>
        <v>서울특별시 영등포구 당산동 4가 32-43 403호</v>
      </c>
      <c r="U18" t="str">
        <f ca="1"/>
        <v>minji@neurophet.com</v>
      </c>
    </row>
    <row r="19" spans="1:21" x14ac:dyDescent="0.3">
      <c r="A19">
        <f ca="1"/>
        <v>18</v>
      </c>
      <c r="B19">
        <f ca="1"/>
        <v>20110203</v>
      </c>
      <c r="C19" t="str">
        <f ca="1"/>
        <v>권은현</v>
      </c>
      <c r="D19" t="str">
        <f ca="1"/>
        <v>연구본부</v>
      </c>
      <c r="E19" t="str">
        <f ca="1"/>
        <v>TechOps팀</v>
      </c>
      <c r="F19" t="str">
        <f ca="1"/>
        <v>레이블링</v>
      </c>
      <c r="G19" t="str">
        <f ca="1"/>
        <v>Member</v>
      </c>
      <c r="H19" t="str">
        <f ca="1"/>
        <v>멤버</v>
      </c>
      <c r="I19">
        <f ca="1"/>
        <v>44137</v>
      </c>
      <c r="J19">
        <f ca="1"/>
        <v>44137</v>
      </c>
      <c r="K19" t="str">
        <f ca="1"/>
        <v>정규직</v>
      </c>
      <c r="L19" t="str">
        <f ca="1"/>
        <v>연구직</v>
      </c>
      <c r="M19" t="str">
        <f ca="1"/>
        <v>재직</v>
      </c>
      <c r="N19" t="str">
        <f ca="1"/>
        <v>810303-2046819</v>
      </c>
      <c r="O19">
        <f ca="1"/>
        <v>29648</v>
      </c>
      <c r="P19" t="str">
        <f ca="1"/>
        <v>여</v>
      </c>
      <c r="Q19">
        <f ca="1"/>
        <v>45</v>
      </c>
      <c r="R19">
        <f ca="1"/>
        <v>44</v>
      </c>
      <c r="S19" t="str">
        <f ca="1"/>
        <v>010-2764-3363</v>
      </c>
      <c r="T19" t="str">
        <f ca="1"/>
        <v xml:space="preserve">서울특별시 강동구 진황도로31길 26 성원아파트 1동 308호    </v>
      </c>
      <c r="U19" t="str">
        <f ca="1"/>
        <v>ehkwon@neurophet.com</v>
      </c>
    </row>
    <row r="20" spans="1:21" x14ac:dyDescent="0.3">
      <c r="A20">
        <f ca="1"/>
        <v>19</v>
      </c>
      <c r="B20">
        <f ca="1"/>
        <v>21030101</v>
      </c>
      <c r="C20" t="str">
        <f ca="1"/>
        <v>최정은</v>
      </c>
      <c r="D20" t="str">
        <f ca="1"/>
        <v>경영본부</v>
      </c>
      <c r="E20" t="str">
        <f ca="1"/>
        <v>회계팀</v>
      </c>
      <c r="F20" t="str">
        <f ca="1"/>
        <v>회계</v>
      </c>
      <c r="G20" t="str">
        <f ca="1"/>
        <v>Member</v>
      </c>
      <c r="H20" t="str">
        <f ca="1"/>
        <v>멤버</v>
      </c>
      <c r="I20">
        <f ca="1"/>
        <v>44256</v>
      </c>
      <c r="J20">
        <f ca="1"/>
        <v>44501</v>
      </c>
      <c r="K20" t="str">
        <f ca="1"/>
        <v>정규직</v>
      </c>
      <c r="L20" t="str">
        <f ca="1"/>
        <v>사무직</v>
      </c>
      <c r="M20" t="str">
        <f ca="1"/>
        <v>재직</v>
      </c>
      <c r="N20" t="str">
        <f ca="1"/>
        <v>920908-2076916</v>
      </c>
      <c r="O20">
        <f ca="1"/>
        <v>33855</v>
      </c>
      <c r="P20" t="str">
        <f ca="1"/>
        <v>여</v>
      </c>
      <c r="Q20">
        <f ca="1"/>
        <v>34</v>
      </c>
      <c r="R20">
        <f ca="1"/>
        <v>32</v>
      </c>
      <c r="S20" t="str">
        <f ca="1"/>
        <v>010-8193-0909</v>
      </c>
      <c r="T20" t="str">
        <f ca="1"/>
        <v>경기도 하남시 세미로1길 10, 103동 1902호</v>
      </c>
      <c r="U20" t="str">
        <f ca="1"/>
        <v>jechoi@neurophet.com</v>
      </c>
    </row>
    <row r="21" spans="1:21" x14ac:dyDescent="0.3">
      <c r="A21">
        <f ca="1"/>
        <v>20</v>
      </c>
      <c r="B21">
        <f ca="1"/>
        <v>21031501</v>
      </c>
      <c r="C21" t="str">
        <f ca="1"/>
        <v>이승은</v>
      </c>
      <c r="D21" t="str">
        <f ca="1"/>
        <v>연구본부</v>
      </c>
      <c r="E21" t="str">
        <f ca="1"/>
        <v>임상팀</v>
      </c>
      <c r="F21" t="str">
        <f ca="1"/>
        <v>CRC</v>
      </c>
      <c r="G21" t="str">
        <f ca="1"/>
        <v>Member</v>
      </c>
      <c r="H21" t="str">
        <f ca="1"/>
        <v>멤버</v>
      </c>
      <c r="I21">
        <f ca="1"/>
        <v>44270</v>
      </c>
      <c r="J21">
        <f ca="1"/>
        <v>44270</v>
      </c>
      <c r="K21" t="str">
        <f ca="1"/>
        <v>정규직</v>
      </c>
      <c r="L21" t="str">
        <f ca="1"/>
        <v>연구직</v>
      </c>
      <c r="M21" t="str">
        <f ca="1"/>
        <v>재직</v>
      </c>
      <c r="N21" t="str">
        <f ca="1"/>
        <v>940114-2200332</v>
      </c>
      <c r="O21">
        <f ca="1"/>
        <v>34348</v>
      </c>
      <c r="P21" t="str">
        <f ca="1"/>
        <v>여</v>
      </c>
      <c r="Q21">
        <f ca="1"/>
        <v>32</v>
      </c>
      <c r="R21">
        <f ca="1"/>
        <v>31</v>
      </c>
      <c r="S21" t="str">
        <f ca="1"/>
        <v>010-2936-5843</v>
      </c>
      <c r="T21" t="str">
        <f ca="1"/>
        <v>경기도 수원시 영통구 도청로 10, B동 1329호</v>
      </c>
      <c r="U21" t="str">
        <f ca="1"/>
        <v>selee@neurophet.com</v>
      </c>
    </row>
    <row r="22" spans="1:21" x14ac:dyDescent="0.3">
      <c r="A22">
        <f ca="1"/>
        <v>21</v>
      </c>
      <c r="B22">
        <f ca="1"/>
        <v>21042601</v>
      </c>
      <c r="C22" t="str">
        <f ca="1"/>
        <v>서영일</v>
      </c>
      <c r="D22" t="str">
        <f ca="1"/>
        <v>프로덕트본부</v>
      </c>
      <c r="E22" t="str">
        <f ca="1"/>
        <v>PET팀</v>
      </c>
      <c r="F22" t="str">
        <f ca="1"/>
        <v>Front_End개발</v>
      </c>
      <c r="G22" t="str">
        <f ca="1"/>
        <v>Lead</v>
      </c>
      <c r="H22" t="str">
        <f ca="1"/>
        <v>팀리드</v>
      </c>
      <c r="I22">
        <f ca="1"/>
        <v>44312</v>
      </c>
      <c r="J22">
        <f ca="1"/>
        <v>44312</v>
      </c>
      <c r="K22" t="str">
        <f ca="1"/>
        <v>정규직</v>
      </c>
      <c r="L22" t="str">
        <f ca="1"/>
        <v>연구직</v>
      </c>
      <c r="M22" t="str">
        <f ca="1"/>
        <v>재직</v>
      </c>
      <c r="N22" t="str">
        <f ca="1"/>
        <v>830628-1912614</v>
      </c>
      <c r="O22">
        <f ca="1"/>
        <v>30495</v>
      </c>
      <c r="P22" t="str">
        <f ca="1"/>
        <v>남</v>
      </c>
      <c r="Q22">
        <f ca="1"/>
        <v>43</v>
      </c>
      <c r="R22">
        <f ca="1"/>
        <v>41</v>
      </c>
      <c r="S22" t="str">
        <f ca="1"/>
        <v>010-3366-1397</v>
      </c>
      <c r="T22" t="str">
        <f ca="1"/>
        <v>경기도 광명시 양지로 16, 111동 607호</v>
      </c>
      <c r="U22" t="str">
        <f ca="1"/>
        <v>yi.seo@neurophet.com</v>
      </c>
    </row>
    <row r="23" spans="1:21" x14ac:dyDescent="0.3">
      <c r="A23">
        <f ca="1"/>
        <v>22</v>
      </c>
      <c r="B23">
        <f ca="1"/>
        <v>21050101</v>
      </c>
      <c r="C23" t="str">
        <f ca="1"/>
        <v>송지원</v>
      </c>
      <c r="D23" t="str">
        <f ca="1"/>
        <v>프로덕트본부</v>
      </c>
      <c r="E23" t="str">
        <f ca="1"/>
        <v>tESplan팀</v>
      </c>
      <c r="F23" t="str">
        <f ca="1"/>
        <v>백엔드_개발</v>
      </c>
      <c r="G23" t="str">
        <f ca="1"/>
        <v>Member</v>
      </c>
      <c r="H23" t="str">
        <f ca="1"/>
        <v>멤버</v>
      </c>
      <c r="I23">
        <f ca="1"/>
        <v>44317</v>
      </c>
      <c r="J23">
        <f ca="1"/>
        <v>44317</v>
      </c>
      <c r="K23" t="str">
        <f ca="1"/>
        <v>정규직</v>
      </c>
      <c r="L23" t="str">
        <f ca="1"/>
        <v>연구직</v>
      </c>
      <c r="M23" t="str">
        <f ca="1"/>
        <v>재직</v>
      </c>
      <c r="N23" t="str">
        <f ca="1"/>
        <v>940204-1932327</v>
      </c>
      <c r="O23">
        <f ca="1"/>
        <v>34369</v>
      </c>
      <c r="P23" t="str">
        <f ca="1"/>
        <v>남</v>
      </c>
      <c r="Q23">
        <f ca="1"/>
        <v>32</v>
      </c>
      <c r="R23">
        <f ca="1"/>
        <v>31</v>
      </c>
      <c r="S23" t="str">
        <f ca="1"/>
        <v>010-3212-3731</v>
      </c>
      <c r="T23" t="str">
        <f ca="1"/>
        <v xml:space="preserve">서울특별시 송파구 올림픽로8길 4-11 잠실포레디움 303    </v>
      </c>
      <c r="U23" t="str">
        <f ca="1"/>
        <v>jwsong@neurophet.com</v>
      </c>
    </row>
    <row r="24" spans="1:21" x14ac:dyDescent="0.3">
      <c r="A24">
        <f ca="1"/>
        <v>23</v>
      </c>
      <c r="B24">
        <f ca="1"/>
        <v>21052601</v>
      </c>
      <c r="C24" t="str">
        <f ca="1"/>
        <v>송재근</v>
      </c>
      <c r="D24" t="str">
        <f ca="1"/>
        <v>프로덕트본부</v>
      </c>
      <c r="E24" t="str">
        <f ca="1"/>
        <v>정보보안팀</v>
      </c>
      <c r="F24" t="str">
        <f ca="1"/>
        <v>보안</v>
      </c>
      <c r="G24" t="str">
        <f ca="1"/>
        <v>Member</v>
      </c>
      <c r="H24" t="str">
        <f ca="1"/>
        <v>멤버</v>
      </c>
      <c r="I24">
        <f ca="1"/>
        <v>44342</v>
      </c>
      <c r="J24">
        <f ca="1"/>
        <v>44342</v>
      </c>
      <c r="K24" t="str">
        <f ca="1"/>
        <v>정규직</v>
      </c>
      <c r="L24" t="str">
        <f ca="1"/>
        <v>사무직</v>
      </c>
      <c r="M24" t="str">
        <f ca="1"/>
        <v>재직</v>
      </c>
      <c r="N24" t="str">
        <f ca="1"/>
        <v>870504-1157619</v>
      </c>
      <c r="O24">
        <f ca="1"/>
        <v>31901</v>
      </c>
      <c r="P24" t="str">
        <f ca="1"/>
        <v>남</v>
      </c>
      <c r="Q24">
        <f ca="1"/>
        <v>39</v>
      </c>
      <c r="R24">
        <f ca="1"/>
        <v>37</v>
      </c>
      <c r="S24" t="str">
        <f ca="1"/>
        <v>010-9148-6587</v>
      </c>
      <c r="T24" t="str">
        <f ca="1"/>
        <v>서울특별시 도봉구 노해로66길 21, 104동 502호</v>
      </c>
      <c r="U24" t="str">
        <f ca="1"/>
        <v>jgsong@neurophet.com</v>
      </c>
    </row>
    <row r="25" spans="1:21" x14ac:dyDescent="0.3">
      <c r="A25">
        <f ca="1"/>
        <v>24</v>
      </c>
      <c r="B25">
        <f ca="1"/>
        <v>21060101</v>
      </c>
      <c r="C25" t="str">
        <f ca="1"/>
        <v>정필충</v>
      </c>
      <c r="D25" t="str">
        <f ca="1"/>
        <v>경영본부</v>
      </c>
      <c r="E25" t="str">
        <f ca="1"/>
        <v>운영팀</v>
      </c>
      <c r="F25" t="str">
        <f ca="1"/>
        <v>총무</v>
      </c>
      <c r="G25" t="str">
        <f ca="1"/>
        <v>Lead</v>
      </c>
      <c r="H25" t="str">
        <f ca="1"/>
        <v>팀리드</v>
      </c>
      <c r="I25">
        <f ca="1"/>
        <v>44348</v>
      </c>
      <c r="J25">
        <f ca="1"/>
        <v>44348</v>
      </c>
      <c r="K25" t="str">
        <f ca="1"/>
        <v>정규직</v>
      </c>
      <c r="L25" t="str">
        <f ca="1"/>
        <v>사무직</v>
      </c>
      <c r="M25" t="str">
        <f ca="1"/>
        <v>재직</v>
      </c>
      <c r="N25" t="str">
        <f ca="1"/>
        <v>790610-1058413</v>
      </c>
      <c r="O25">
        <f ca="1"/>
        <v>29016</v>
      </c>
      <c r="P25" t="str">
        <f ca="1"/>
        <v>남</v>
      </c>
      <c r="Q25">
        <f ca="1"/>
        <v>47</v>
      </c>
      <c r="R25">
        <f ca="1"/>
        <v>45</v>
      </c>
      <c r="S25" t="str">
        <f ca="1"/>
        <v>010-9077-5587</v>
      </c>
      <c r="T25" t="str">
        <f ca="1"/>
        <v>서울특별시 구로구 궁동 102번지 동오그린빌라 115동 104호</v>
      </c>
      <c r="U25" t="str">
        <f ca="1"/>
        <v>pcjung@neurophet.com</v>
      </c>
    </row>
    <row r="26" spans="1:21" x14ac:dyDescent="0.3">
      <c r="A26">
        <f ca="1"/>
        <v>25</v>
      </c>
      <c r="B26">
        <f ca="1"/>
        <v>21060701</v>
      </c>
      <c r="C26" t="str">
        <f ca="1"/>
        <v>이지은A</v>
      </c>
      <c r="D26" t="str">
        <f ca="1"/>
        <v>프로덕트본부</v>
      </c>
      <c r="E26" t="str">
        <f ca="1"/>
        <v>UX팀</v>
      </c>
      <c r="F26" t="str">
        <f ca="1"/>
        <v>디자인</v>
      </c>
      <c r="G26" t="str">
        <f ca="1"/>
        <v>Member</v>
      </c>
      <c r="H26" t="str">
        <f ca="1"/>
        <v>멤버</v>
      </c>
      <c r="I26">
        <f ca="1"/>
        <v>44354</v>
      </c>
      <c r="J26">
        <f ca="1"/>
        <v>44354</v>
      </c>
      <c r="K26" t="str">
        <f ca="1"/>
        <v>정규직</v>
      </c>
      <c r="L26" t="str">
        <f ca="1"/>
        <v>연구직</v>
      </c>
      <c r="M26" t="str">
        <f ca="1"/>
        <v>재직</v>
      </c>
      <c r="N26" t="str">
        <f ca="1"/>
        <v>950916-2691810</v>
      </c>
      <c r="O26">
        <f ca="1"/>
        <v>34958</v>
      </c>
      <c r="P26" t="str">
        <f ca="1"/>
        <v>여</v>
      </c>
      <c r="Q26">
        <f ca="1"/>
        <v>31</v>
      </c>
      <c r="R26">
        <f ca="1"/>
        <v>29</v>
      </c>
      <c r="S26" t="str">
        <f ca="1"/>
        <v>010-6695-0148</v>
      </c>
      <c r="T26" t="str">
        <f ca="1"/>
        <v>서울특별시 강남구 역삼로19길 13,103호</v>
      </c>
      <c r="U26" t="str">
        <f ca="1"/>
        <v>easyeun@neurophet.com</v>
      </c>
    </row>
    <row r="27" spans="1:21" x14ac:dyDescent="0.3">
      <c r="A27">
        <f ca="1"/>
        <v>26</v>
      </c>
      <c r="B27">
        <f ca="1"/>
        <v>21062102</v>
      </c>
      <c r="C27" t="str">
        <f ca="1"/>
        <v>전현진</v>
      </c>
      <c r="D27" t="str">
        <f ca="1"/>
        <v>프로덕트본부</v>
      </c>
      <c r="E27" t="str">
        <f ca="1"/>
        <v>AD팀</v>
      </c>
      <c r="F27" t="str">
        <f ca="1"/>
        <v>개발</v>
      </c>
      <c r="G27" t="str">
        <f ca="1"/>
        <v>Member</v>
      </c>
      <c r="H27" t="str">
        <f ca="1"/>
        <v>멤버</v>
      </c>
      <c r="I27">
        <f ca="1"/>
        <v>44368</v>
      </c>
      <c r="J27">
        <f ca="1"/>
        <v>44368</v>
      </c>
      <c r="K27" t="str">
        <f ca="1"/>
        <v>정규직</v>
      </c>
      <c r="L27" t="str">
        <f ca="1"/>
        <v>연구직</v>
      </c>
      <c r="M27" t="str">
        <f ca="1"/>
        <v>재직</v>
      </c>
      <c r="N27" t="str">
        <f ca="1"/>
        <v>901025-2057310</v>
      </c>
      <c r="O27">
        <f ca="1"/>
        <v>33171</v>
      </c>
      <c r="P27" t="str">
        <f ca="1"/>
        <v>여</v>
      </c>
      <c r="Q27">
        <f ca="1"/>
        <v>36</v>
      </c>
      <c r="R27">
        <f ca="1"/>
        <v>34</v>
      </c>
      <c r="S27" t="str">
        <f ca="1"/>
        <v>010-5366-6349</v>
      </c>
      <c r="T27" t="str">
        <f ca="1"/>
        <v>서울특별시 관악구 쑥고개로 61, 801호</v>
      </c>
      <c r="U27" t="str">
        <f ca="1"/>
        <v>hjjeon@neurophet.com</v>
      </c>
    </row>
    <row r="28" spans="1:21" x14ac:dyDescent="0.3">
      <c r="A28">
        <f ca="1"/>
        <v>27</v>
      </c>
      <c r="B28">
        <f ca="1"/>
        <v>21071201</v>
      </c>
      <c r="C28" t="str">
        <f ca="1"/>
        <v>윤형석</v>
      </c>
      <c r="D28" t="str">
        <f ca="1"/>
        <v>연구본부</v>
      </c>
      <c r="E28" t="str">
        <f ca="1"/>
        <v>연구기획팀</v>
      </c>
      <c r="F28" t="str">
        <f ca="1"/>
        <v>과제, 특허</v>
      </c>
      <c r="G28" t="str">
        <f ca="1"/>
        <v>Director</v>
      </c>
      <c r="H28" t="str">
        <f ca="1"/>
        <v>팀리드</v>
      </c>
      <c r="I28">
        <f ca="1"/>
        <v>44389</v>
      </c>
      <c r="J28">
        <f ca="1"/>
        <v>44389</v>
      </c>
      <c r="K28" t="str">
        <f ca="1"/>
        <v>정규직</v>
      </c>
      <c r="L28" t="str">
        <f ca="1"/>
        <v>연구직</v>
      </c>
      <c r="M28" t="str">
        <f ca="1"/>
        <v>재직</v>
      </c>
      <c r="N28" t="str">
        <f ca="1"/>
        <v>841101-1079118</v>
      </c>
      <c r="O28">
        <f ca="1"/>
        <v>30987</v>
      </c>
      <c r="P28" t="str">
        <f ca="1"/>
        <v>남</v>
      </c>
      <c r="Q28">
        <f ca="1"/>
        <v>42</v>
      </c>
      <c r="R28">
        <f ca="1"/>
        <v>40</v>
      </c>
      <c r="S28" t="str">
        <f ca="1"/>
        <v>010-8637-7338</v>
      </c>
      <c r="T28" t="str">
        <f ca="1"/>
        <v>서울특별시 광진구 긴고랑로3길 3, 301호</v>
      </c>
      <c r="U28" t="str">
        <f ca="1"/>
        <v>hsyoon@neurophet.com</v>
      </c>
    </row>
    <row r="29" spans="1:21" x14ac:dyDescent="0.3">
      <c r="A29">
        <f ca="1"/>
        <v>28</v>
      </c>
      <c r="B29">
        <f ca="1"/>
        <v>21071901</v>
      </c>
      <c r="C29" t="str">
        <f ca="1"/>
        <v>강해인</v>
      </c>
      <c r="D29" t="str">
        <f ca="1"/>
        <v>프로덕트본부</v>
      </c>
      <c r="E29" t="str">
        <f ca="1"/>
        <v>UX팀</v>
      </c>
      <c r="F29" t="str">
        <f ca="1"/>
        <v>기획</v>
      </c>
      <c r="G29" t="str">
        <f ca="1"/>
        <v>Member</v>
      </c>
      <c r="H29" t="str">
        <f ca="1"/>
        <v>멤버</v>
      </c>
      <c r="I29">
        <f ca="1"/>
        <v>44396</v>
      </c>
      <c r="J29">
        <f ca="1"/>
        <v>44396</v>
      </c>
      <c r="K29" t="str">
        <f ca="1"/>
        <v>정규직</v>
      </c>
      <c r="L29" t="str">
        <f ca="1"/>
        <v>연구직</v>
      </c>
      <c r="M29" t="str">
        <f ca="1"/>
        <v>재직</v>
      </c>
      <c r="N29" t="str">
        <f ca="1"/>
        <v>860414-2224310</v>
      </c>
      <c r="O29">
        <f ca="1"/>
        <v>31516</v>
      </c>
      <c r="P29" t="str">
        <f ca="1"/>
        <v>여</v>
      </c>
      <c r="Q29">
        <f ca="1"/>
        <v>40</v>
      </c>
      <c r="R29">
        <f ca="1"/>
        <v>38</v>
      </c>
      <c r="S29" t="str">
        <f ca="1"/>
        <v>010-6899-3578</v>
      </c>
      <c r="T29" t="str">
        <f ca="1"/>
        <v>경기도 광명시 새터로90, 114동 1003호</v>
      </c>
      <c r="U29" t="str">
        <f ca="1"/>
        <v>hikang@neurophet.com</v>
      </c>
    </row>
    <row r="30" spans="1:21" x14ac:dyDescent="0.3">
      <c r="A30">
        <f ca="1"/>
        <v>29</v>
      </c>
      <c r="B30">
        <f ca="1"/>
        <v>21080901</v>
      </c>
      <c r="C30" t="str">
        <f ca="1"/>
        <v>손경미</v>
      </c>
      <c r="D30" t="str">
        <f ca="1"/>
        <v>비즈니스본부</v>
      </c>
      <c r="E30" t="str">
        <f ca="1"/>
        <v>해외세일즈팀</v>
      </c>
      <c r="F30" t="str">
        <f ca="1"/>
        <v>BD</v>
      </c>
      <c r="G30" t="str">
        <f ca="1"/>
        <v>Member</v>
      </c>
      <c r="H30" t="str">
        <f ca="1"/>
        <v>멤버</v>
      </c>
      <c r="I30">
        <f ca="1"/>
        <v>44417</v>
      </c>
      <c r="J30">
        <f ca="1"/>
        <v>44417</v>
      </c>
      <c r="K30" t="str">
        <f ca="1"/>
        <v>정규직</v>
      </c>
      <c r="L30" t="str">
        <f ca="1"/>
        <v>사무직</v>
      </c>
      <c r="M30" t="str">
        <f ca="1"/>
        <v>재직</v>
      </c>
      <c r="N30" t="str">
        <f ca="1"/>
        <v>871212-2730911</v>
      </c>
      <c r="O30">
        <f ca="1"/>
        <v>32123</v>
      </c>
      <c r="P30" t="str">
        <f ca="1"/>
        <v>여</v>
      </c>
      <c r="Q30">
        <f ca="1"/>
        <v>39</v>
      </c>
      <c r="R30">
        <f ca="1"/>
        <v>37</v>
      </c>
      <c r="S30" t="str">
        <f ca="1"/>
        <v>010-4650-2290</v>
      </c>
      <c r="T30" t="str">
        <f ca="1"/>
        <v>서울특별시 서초구 양재대로2길33, 401동 1701호 (우면동, 엘에이치서초4단지)</v>
      </c>
      <c r="U30" t="str">
        <f ca="1"/>
        <v>kmson@neurophet.com</v>
      </c>
    </row>
    <row r="31" spans="1:21" x14ac:dyDescent="0.3">
      <c r="A31">
        <f ca="1"/>
        <v>30</v>
      </c>
      <c r="B31">
        <f ca="1"/>
        <v>21083001</v>
      </c>
      <c r="C31" t="str">
        <f ca="1"/>
        <v>정의석</v>
      </c>
      <c r="D31" t="str">
        <f ca="1"/>
        <v>연구본부</v>
      </c>
      <c r="E31" t="str">
        <f ca="1"/>
        <v>AIOps팀</v>
      </c>
      <c r="F31" t="str">
        <f ca="1"/>
        <v>MLOps</v>
      </c>
      <c r="G31" t="str">
        <f ca="1"/>
        <v>Member</v>
      </c>
      <c r="H31" t="str">
        <f ca="1"/>
        <v>멤버</v>
      </c>
      <c r="I31">
        <f ca="1"/>
        <v>44438</v>
      </c>
      <c r="J31">
        <f ca="1"/>
        <v>44530</v>
      </c>
      <c r="K31" t="str">
        <f ca="1"/>
        <v>정규직</v>
      </c>
      <c r="L31" t="str">
        <f ca="1"/>
        <v>연구직</v>
      </c>
      <c r="M31" t="str">
        <f ca="1"/>
        <v>재직</v>
      </c>
      <c r="N31" t="str">
        <f ca="1"/>
        <v>960313-1059410</v>
      </c>
      <c r="O31">
        <f ca="1"/>
        <v>35137</v>
      </c>
      <c r="P31" t="str">
        <f ca="1"/>
        <v>남</v>
      </c>
      <c r="Q31">
        <f ca="1"/>
        <v>30</v>
      </c>
      <c r="R31">
        <f ca="1"/>
        <v>29</v>
      </c>
      <c r="S31" t="str">
        <f ca="1"/>
        <v>010-2211-7680</v>
      </c>
      <c r="T31" t="str">
        <f ca="1"/>
        <v>서울특별시 관악구 남부순환로161길 31, 303호</v>
      </c>
      <c r="U31" t="str">
        <f ca="1"/>
        <v>esjeong@neurophet.com</v>
      </c>
    </row>
    <row r="32" spans="1:21" x14ac:dyDescent="0.3">
      <c r="A32">
        <f ca="1"/>
        <v>31</v>
      </c>
      <c r="B32">
        <f ca="1"/>
        <v>21091301</v>
      </c>
      <c r="C32" t="str">
        <f ca="1"/>
        <v>이그린</v>
      </c>
      <c r="D32" t="str">
        <f ca="1"/>
        <v>대표이사</v>
      </c>
      <c r="E32" t="str">
        <f ca="1"/>
        <v>RA팀</v>
      </c>
      <c r="F32" t="str">
        <f ca="1"/>
        <v>RA</v>
      </c>
      <c r="G32" t="str">
        <f ca="1"/>
        <v>Member</v>
      </c>
      <c r="H32" t="str">
        <f ca="1"/>
        <v>멤버</v>
      </c>
      <c r="I32">
        <f ca="1"/>
        <v>44452</v>
      </c>
      <c r="J32">
        <f ca="1"/>
        <v>44543</v>
      </c>
      <c r="K32" t="str">
        <f ca="1"/>
        <v>정규직</v>
      </c>
      <c r="L32" t="str">
        <f ca="1"/>
        <v>사무직</v>
      </c>
      <c r="M32" t="str">
        <f ca="1"/>
        <v>재직</v>
      </c>
      <c r="N32" t="str">
        <f ca="1"/>
        <v>970210-2002112</v>
      </c>
      <c r="O32">
        <f ca="1"/>
        <v>35471</v>
      </c>
      <c r="P32" t="str">
        <f ca="1"/>
        <v>여</v>
      </c>
      <c r="Q32">
        <f ca="1"/>
        <v>29</v>
      </c>
      <c r="R32">
        <f ca="1"/>
        <v>28</v>
      </c>
      <c r="S32" t="str">
        <f ca="1"/>
        <v>010-4300-2297</v>
      </c>
      <c r="T32" t="str">
        <f ca="1"/>
        <v>서울특별시 강동구 천호대로161길 15, 707호</v>
      </c>
      <c r="U32" t="str">
        <f ca="1"/>
        <v>greenlee@neurophet.com</v>
      </c>
    </row>
    <row r="33" spans="1:21" x14ac:dyDescent="0.3">
      <c r="A33">
        <f ca="1"/>
        <v>32</v>
      </c>
      <c r="B33">
        <f ca="1"/>
        <v>21100501</v>
      </c>
      <c r="C33" t="str">
        <f ca="1"/>
        <v>김창일</v>
      </c>
      <c r="D33" t="str">
        <f ca="1"/>
        <v>프로덕트본부</v>
      </c>
      <c r="E33" t="str">
        <f ca="1"/>
        <v>프로덕트본부</v>
      </c>
      <c r="F33" t="str">
        <f ca="1"/>
        <v>CPO</v>
      </c>
      <c r="G33" t="str">
        <f ca="1"/>
        <v>CPO</v>
      </c>
      <c r="H33" t="str">
        <f ca="1"/>
        <v>C-LEVEL</v>
      </c>
      <c r="I33">
        <f ca="1"/>
        <v>44474</v>
      </c>
      <c r="J33">
        <f ca="1"/>
        <v>44474</v>
      </c>
      <c r="K33" t="str">
        <f ca="1"/>
        <v>정규직</v>
      </c>
      <c r="L33" t="str">
        <f ca="1"/>
        <v>임원</v>
      </c>
      <c r="M33" t="str">
        <f ca="1"/>
        <v>재직</v>
      </c>
      <c r="N33" t="str">
        <f ca="1"/>
        <v>690801-1001023</v>
      </c>
      <c r="O33">
        <f ca="1"/>
        <v>25416</v>
      </c>
      <c r="P33" t="str">
        <f ca="1"/>
        <v>남</v>
      </c>
      <c r="Q33">
        <f ca="1"/>
        <v>57</v>
      </c>
      <c r="R33">
        <f ca="1"/>
        <v>55</v>
      </c>
      <c r="S33" t="str">
        <f ca="1"/>
        <v>010-4697-2286</v>
      </c>
      <c r="T33" t="str">
        <f ca="1"/>
        <v>경기도 성남시 분당구 장안로 15 건영아파트 122동 901호</v>
      </c>
      <c r="U33" t="str">
        <f ca="1"/>
        <v>changilkim@neurophet.com</v>
      </c>
    </row>
    <row r="34" spans="1:21" x14ac:dyDescent="0.3">
      <c r="A34">
        <f ca="1"/>
        <v>33</v>
      </c>
      <c r="B34">
        <f ca="1"/>
        <v>21101201</v>
      </c>
      <c r="C34" t="str">
        <f ca="1"/>
        <v>이지영</v>
      </c>
      <c r="D34" t="str">
        <f ca="1"/>
        <v>대표이사</v>
      </c>
      <c r="E34" t="str">
        <f ca="1"/>
        <v>인사팀</v>
      </c>
      <c r="F34" t="str">
        <f ca="1"/>
        <v>인사</v>
      </c>
      <c r="G34" t="str">
        <f ca="1"/>
        <v>Director</v>
      </c>
      <c r="H34" t="str">
        <f ca="1"/>
        <v>팀리드</v>
      </c>
      <c r="I34">
        <f ca="1"/>
        <v>44481</v>
      </c>
      <c r="J34">
        <f ca="1"/>
        <v>44481</v>
      </c>
      <c r="K34" t="str">
        <f ca="1"/>
        <v>정규직</v>
      </c>
      <c r="L34" t="str">
        <f ca="1"/>
        <v>사무직</v>
      </c>
      <c r="M34" t="str">
        <f ca="1"/>
        <v>재직</v>
      </c>
      <c r="N34" t="str">
        <f ca="1"/>
        <v>820530-2074227</v>
      </c>
      <c r="O34">
        <f ca="1"/>
        <v>30101</v>
      </c>
      <c r="P34" t="str">
        <f ca="1"/>
        <v>여</v>
      </c>
      <c r="Q34">
        <f ca="1"/>
        <v>44</v>
      </c>
      <c r="R34">
        <f ca="1"/>
        <v>42</v>
      </c>
      <c r="S34" t="str">
        <f ca="1"/>
        <v>010-5147-6861</v>
      </c>
      <c r="T34" t="str">
        <f ca="1"/>
        <v xml:space="preserve">서울특별시 강동구 고덕로80길 99. 508동 1004호(상일동, 고덕센트럴 IPARK)    </v>
      </c>
      <c r="U34" t="str">
        <f ca="1"/>
        <v>jiyounglee@neurophet.com</v>
      </c>
    </row>
    <row r="35" spans="1:21" x14ac:dyDescent="0.3">
      <c r="A35">
        <f ca="1"/>
        <v>34</v>
      </c>
      <c r="B35">
        <f ca="1"/>
        <v>21101801</v>
      </c>
      <c r="C35" t="str">
        <f ca="1"/>
        <v>권혜지</v>
      </c>
      <c r="D35" t="str">
        <f ca="1"/>
        <v>프로덕트본부</v>
      </c>
      <c r="E35" t="str">
        <f ca="1"/>
        <v>PM팀</v>
      </c>
      <c r="F35" t="str">
        <f ca="1"/>
        <v>기획</v>
      </c>
      <c r="G35" t="str">
        <f ca="1"/>
        <v>Member</v>
      </c>
      <c r="H35" t="str">
        <f ca="1"/>
        <v>멤버</v>
      </c>
      <c r="I35">
        <f ca="1"/>
        <v>44487</v>
      </c>
      <c r="J35">
        <f ca="1"/>
        <v>44487</v>
      </c>
      <c r="K35" t="str">
        <f ca="1"/>
        <v>정규직</v>
      </c>
      <c r="L35" t="str">
        <f ca="1"/>
        <v>연구직</v>
      </c>
      <c r="M35" t="str">
        <f ca="1"/>
        <v>재직</v>
      </c>
      <c r="N35" t="str">
        <f ca="1"/>
        <v>900925-2813219</v>
      </c>
      <c r="O35">
        <f ca="1"/>
        <v>33141</v>
      </c>
      <c r="P35" t="str">
        <f ca="1"/>
        <v>여</v>
      </c>
      <c r="Q35">
        <f ca="1"/>
        <v>36</v>
      </c>
      <c r="R35">
        <f ca="1"/>
        <v>34</v>
      </c>
      <c r="S35" t="str">
        <f ca="1"/>
        <v>010-3383-3617</v>
      </c>
      <c r="T35" t="str">
        <f ca="1"/>
        <v>경기도 광명시 광이로 96 트리우스광명 210동 2101호</v>
      </c>
      <c r="U35" t="str">
        <f ca="1"/>
        <v>hyeji@neurophet.com</v>
      </c>
    </row>
    <row r="36" spans="1:21" x14ac:dyDescent="0.3">
      <c r="A36">
        <f ca="1"/>
        <v>35</v>
      </c>
      <c r="B36">
        <f ca="1"/>
        <v>21111501</v>
      </c>
      <c r="C36" t="str">
        <f ca="1"/>
        <v>박정민</v>
      </c>
      <c r="D36" t="str">
        <f ca="1"/>
        <v>프로덕트본부</v>
      </c>
      <c r="E36" t="str">
        <f ca="1"/>
        <v>SE팀</v>
      </c>
      <c r="F36" t="str">
        <f ca="1"/>
        <v>기술지원</v>
      </c>
      <c r="G36" t="str">
        <f ca="1"/>
        <v>Lead</v>
      </c>
      <c r="H36" t="str">
        <f ca="1"/>
        <v>팀리드</v>
      </c>
      <c r="I36">
        <f ca="1"/>
        <v>44515</v>
      </c>
      <c r="J36">
        <f ca="1"/>
        <v>44515</v>
      </c>
      <c r="K36" t="str">
        <f ca="1"/>
        <v>정규직</v>
      </c>
      <c r="L36" t="str">
        <f ca="1"/>
        <v>연구직</v>
      </c>
      <c r="M36" t="str">
        <f ca="1"/>
        <v>재직</v>
      </c>
      <c r="N36" t="str">
        <f ca="1"/>
        <v>820825-1249123</v>
      </c>
      <c r="O36">
        <f ca="1"/>
        <v>30188</v>
      </c>
      <c r="P36" t="str">
        <f ca="1"/>
        <v>남</v>
      </c>
      <c r="Q36">
        <f ca="1"/>
        <v>44</v>
      </c>
      <c r="R36">
        <f ca="1"/>
        <v>42</v>
      </c>
      <c r="S36" t="str">
        <f ca="1"/>
        <v>010-5855-4082</v>
      </c>
      <c r="T36" t="str">
        <f ca="1"/>
        <v xml:space="preserve">경기도 부천시 신흥로67번길 43, 대창스페이스 303호    </v>
      </c>
      <c r="U36" t="str">
        <f ca="1"/>
        <v>jmpark@neurophet.com</v>
      </c>
    </row>
    <row r="37" spans="1:21" x14ac:dyDescent="0.3">
      <c r="A37">
        <f ca="1"/>
        <v>36</v>
      </c>
      <c r="B37">
        <f ca="1"/>
        <v>21122001</v>
      </c>
      <c r="C37" t="str">
        <f ca="1"/>
        <v>장한나</v>
      </c>
      <c r="D37" t="str">
        <f ca="1"/>
        <v>연구본부</v>
      </c>
      <c r="E37" t="str">
        <f ca="1"/>
        <v>임상팀</v>
      </c>
      <c r="F37" t="str">
        <f ca="1"/>
        <v>Medical Writer</v>
      </c>
      <c r="G37" t="str">
        <f ca="1"/>
        <v>Member</v>
      </c>
      <c r="H37" t="str">
        <f ca="1"/>
        <v>멤버</v>
      </c>
      <c r="I37">
        <f ca="1"/>
        <v>44550</v>
      </c>
      <c r="J37">
        <f ca="1"/>
        <v>44550</v>
      </c>
      <c r="K37" t="str">
        <f ca="1"/>
        <v>정규직</v>
      </c>
      <c r="L37" t="str">
        <f ca="1"/>
        <v>연구직</v>
      </c>
      <c r="M37" t="str">
        <f ca="1"/>
        <v>재직</v>
      </c>
      <c r="N37" t="str">
        <f ca="1"/>
        <v>960402-2902115</v>
      </c>
      <c r="O37">
        <f ca="1"/>
        <v>35157</v>
      </c>
      <c r="P37" t="str">
        <f ca="1"/>
        <v>여</v>
      </c>
      <c r="Q37">
        <f ca="1"/>
        <v>30</v>
      </c>
      <c r="R37">
        <f ca="1"/>
        <v>29</v>
      </c>
      <c r="S37" t="str">
        <f ca="1"/>
        <v>010-2669-4106</v>
      </c>
      <c r="T37" t="str">
        <f ca="1"/>
        <v>서울특별시 관악구 남부순환로141길 18-6, 503호</v>
      </c>
      <c r="U37" t="str">
        <f ca="1"/>
        <v>hnjang@neurophet.com</v>
      </c>
    </row>
    <row r="38" spans="1:21" x14ac:dyDescent="0.3">
      <c r="A38">
        <f ca="1"/>
        <v>37</v>
      </c>
      <c r="B38">
        <f ca="1"/>
        <v>22010301</v>
      </c>
      <c r="C38" t="str">
        <f ca="1"/>
        <v>문영준</v>
      </c>
      <c r="D38" t="str">
        <f ca="1"/>
        <v>비즈니스본부</v>
      </c>
      <c r="E38" t="str">
        <f ca="1"/>
        <v>비즈니스본부</v>
      </c>
      <c r="F38" t="str">
        <f ca="1"/>
        <v>CBO</v>
      </c>
      <c r="G38" t="str">
        <f ca="1"/>
        <v>CBO</v>
      </c>
      <c r="H38" t="str">
        <f ca="1"/>
        <v>C-LEVEL</v>
      </c>
      <c r="I38">
        <f ca="1"/>
        <v>44564</v>
      </c>
      <c r="J38">
        <f ca="1"/>
        <v>44564</v>
      </c>
      <c r="K38" t="str">
        <f ca="1"/>
        <v>정규직</v>
      </c>
      <c r="L38" t="str">
        <f ca="1"/>
        <v>임원</v>
      </c>
      <c r="M38" t="str">
        <f ca="1"/>
        <v>재직</v>
      </c>
      <c r="N38" t="str">
        <f ca="1"/>
        <v>760601-1058111</v>
      </c>
      <c r="O38">
        <f ca="1"/>
        <v>27912</v>
      </c>
      <c r="P38" t="str">
        <f ca="1"/>
        <v>남</v>
      </c>
      <c r="Q38">
        <f ca="1"/>
        <v>50</v>
      </c>
      <c r="R38">
        <f ca="1"/>
        <v>48</v>
      </c>
      <c r="S38" t="str">
        <f ca="1"/>
        <v>010-5555-1336</v>
      </c>
      <c r="T38" t="str">
        <f ca="1"/>
        <v>서울특별시 구로구 경인로643 신도림동아2차아파트 205동 1408호</v>
      </c>
      <c r="U38" t="str">
        <f ca="1"/>
        <v>yjmoon@neurophet.com</v>
      </c>
    </row>
    <row r="39" spans="1:21" x14ac:dyDescent="0.3">
      <c r="A39">
        <f ca="1"/>
        <v>38</v>
      </c>
      <c r="B39">
        <f ca="1"/>
        <v>22010304</v>
      </c>
      <c r="C39" t="str">
        <f ca="1"/>
        <v>김현수</v>
      </c>
      <c r="D39" t="str">
        <f ca="1"/>
        <v>연구본부</v>
      </c>
      <c r="E39" t="str">
        <f ca="1"/>
        <v>TechOps팀</v>
      </c>
      <c r="F39" t="str">
        <f ca="1"/>
        <v>레이블링</v>
      </c>
      <c r="G39" t="str">
        <f ca="1"/>
        <v>Member</v>
      </c>
      <c r="H39" t="str">
        <f ca="1"/>
        <v>멤버</v>
      </c>
      <c r="I39">
        <f ca="1"/>
        <v>44564</v>
      </c>
      <c r="J39">
        <f ca="1"/>
        <v>44652</v>
      </c>
      <c r="K39" t="str">
        <f ca="1"/>
        <v>정규직</v>
      </c>
      <c r="L39" t="str">
        <f ca="1"/>
        <v>연구직</v>
      </c>
      <c r="M39" t="str">
        <f ca="1"/>
        <v>재직</v>
      </c>
      <c r="N39" t="str">
        <f ca="1"/>
        <v>991019-1235224</v>
      </c>
      <c r="O39">
        <f ca="1"/>
        <v>36452</v>
      </c>
      <c r="P39" t="str">
        <f ca="1"/>
        <v>남</v>
      </c>
      <c r="Q39">
        <f ca="1"/>
        <v>27</v>
      </c>
      <c r="R39">
        <f ca="1"/>
        <v>25</v>
      </c>
      <c r="S39" t="str">
        <f ca="1"/>
        <v>010-8911-8732</v>
      </c>
      <c r="T39" t="str">
        <f ca="1"/>
        <v>서울특별시 성동구 둘레19길 5 강변임광아파트 101동 907호</v>
      </c>
      <c r="U39" t="str">
        <f ca="1"/>
        <v>khs@neurophet.com</v>
      </c>
    </row>
    <row r="40" spans="1:21" x14ac:dyDescent="0.3">
      <c r="A40">
        <f ca="1"/>
        <v>39</v>
      </c>
      <c r="B40">
        <f ca="1"/>
        <v>22011701</v>
      </c>
      <c r="C40" t="str">
        <f ca="1"/>
        <v>김도현</v>
      </c>
      <c r="D40" t="str">
        <f ca="1"/>
        <v>대표이사</v>
      </c>
      <c r="E40" t="str">
        <f ca="1"/>
        <v>QA/RA실</v>
      </c>
      <c r="F40" t="str">
        <f ca="1"/>
        <v>QA팀</v>
      </c>
      <c r="G40" t="str">
        <f ca="1"/>
        <v>Director</v>
      </c>
      <c r="H40" t="str">
        <f ca="1"/>
        <v>실리드</v>
      </c>
      <c r="I40">
        <f ca="1"/>
        <v>44578</v>
      </c>
      <c r="J40">
        <f ca="1"/>
        <v>44578</v>
      </c>
      <c r="K40" t="str">
        <f ca="1"/>
        <v>정규직</v>
      </c>
      <c r="L40" t="str">
        <f ca="1"/>
        <v>사무직</v>
      </c>
      <c r="M40" t="str">
        <f ca="1"/>
        <v>재직</v>
      </c>
      <c r="N40" t="str">
        <f ca="1"/>
        <v>751121-1023314</v>
      </c>
      <c r="O40">
        <f ca="1"/>
        <v>27719</v>
      </c>
      <c r="P40" t="str">
        <f ca="1"/>
        <v>남</v>
      </c>
      <c r="Q40">
        <f ca="1"/>
        <v>51</v>
      </c>
      <c r="R40">
        <f ca="1"/>
        <v>49</v>
      </c>
      <c r="S40" t="str">
        <f ca="1"/>
        <v>010-2992-9801</v>
      </c>
      <c r="T40" t="str">
        <f ca="1"/>
        <v>경기도 성남시 분당구 판교원로 207, 푸르지오 아파트 502동 1001호</v>
      </c>
      <c r="U40" t="str">
        <f ca="1"/>
        <v>dohyun.kim@neurophet.com</v>
      </c>
    </row>
    <row r="41" spans="1:21" x14ac:dyDescent="0.3">
      <c r="A41">
        <f ca="1"/>
        <v>40</v>
      </c>
      <c r="B41">
        <f ca="1"/>
        <v>22011702</v>
      </c>
      <c r="C41" t="str">
        <f ca="1"/>
        <v>김가희</v>
      </c>
      <c r="D41" t="str">
        <f ca="1"/>
        <v>대표이사</v>
      </c>
      <c r="E41" t="str">
        <f ca="1"/>
        <v>SV팀</v>
      </c>
      <c r="F41" t="str">
        <f ca="1"/>
        <v>SQA</v>
      </c>
      <c r="G41" t="str">
        <f ca="1"/>
        <v>Lead</v>
      </c>
      <c r="H41" t="str">
        <f ca="1"/>
        <v>팀리드</v>
      </c>
      <c r="I41">
        <f ca="1"/>
        <v>44578</v>
      </c>
      <c r="J41">
        <f ca="1"/>
        <v>44578</v>
      </c>
      <c r="K41" t="str">
        <f ca="1"/>
        <v>정규직</v>
      </c>
      <c r="L41" t="str">
        <f ca="1"/>
        <v>사무직</v>
      </c>
      <c r="M41" t="str">
        <f ca="1"/>
        <v>재직</v>
      </c>
      <c r="N41" t="str">
        <f ca="1"/>
        <v>890707-2205427</v>
      </c>
      <c r="O41">
        <f ca="1"/>
        <v>32696</v>
      </c>
      <c r="P41" t="str">
        <f ca="1"/>
        <v>여</v>
      </c>
      <c r="Q41">
        <f ca="1"/>
        <v>37</v>
      </c>
      <c r="R41">
        <f ca="1"/>
        <v>35</v>
      </c>
      <c r="S41" t="str">
        <f ca="1"/>
        <v>010-4905-6337</v>
      </c>
      <c r="T41" t="str">
        <f ca="1"/>
        <v xml:space="preserve">경기도 용인시 기흥구 서그내로31 서천효성해링턴 107동 202호 </v>
      </c>
      <c r="U41" t="str">
        <f ca="1"/>
        <v>kahee@neurophet.com</v>
      </c>
    </row>
    <row r="42" spans="1:21" x14ac:dyDescent="0.3">
      <c r="A42">
        <f ca="1"/>
        <v>41</v>
      </c>
      <c r="B42">
        <f ca="1"/>
        <v>22020702</v>
      </c>
      <c r="C42" t="str">
        <f ca="1"/>
        <v>김종일</v>
      </c>
      <c r="D42" t="str">
        <f ca="1"/>
        <v>연구본부</v>
      </c>
      <c r="E42" t="str">
        <f ca="1"/>
        <v>뇌자극팀</v>
      </c>
      <c r="F42" t="str">
        <f ca="1"/>
        <v>엔진 형상관리 및
품질향상, 제품화</v>
      </c>
      <c r="G42" t="str">
        <f ca="1"/>
        <v>Member</v>
      </c>
      <c r="H42" t="str">
        <f ca="1"/>
        <v>멤버</v>
      </c>
      <c r="I42">
        <f ca="1"/>
        <v>44599</v>
      </c>
      <c r="J42">
        <f ca="1"/>
        <v>44599</v>
      </c>
      <c r="K42" t="str">
        <f ca="1"/>
        <v>정규직</v>
      </c>
      <c r="L42" t="str">
        <f ca="1"/>
        <v>연구직</v>
      </c>
      <c r="M42" t="str">
        <f ca="1"/>
        <v>재직</v>
      </c>
      <c r="N42" t="str">
        <f ca="1"/>
        <v>790111-1048224</v>
      </c>
      <c r="O42">
        <f ca="1"/>
        <v>28762</v>
      </c>
      <c r="P42" t="str">
        <f ca="1"/>
        <v>남</v>
      </c>
      <c r="Q42">
        <f ca="1"/>
        <v>48</v>
      </c>
      <c r="R42">
        <f ca="1"/>
        <v>46</v>
      </c>
      <c r="S42" t="str">
        <f ca="1"/>
        <v>010-9667-4862</v>
      </c>
      <c r="T42" t="str">
        <f ca="1"/>
        <v>경기도 성남시 분당구 서현로494번길 8-5 B02호</v>
      </c>
      <c r="U42" t="str">
        <f ca="1"/>
        <v>jikim@neurophet.com</v>
      </c>
    </row>
    <row r="43" spans="1:21" x14ac:dyDescent="0.3">
      <c r="A43">
        <f ca="1"/>
        <v>42</v>
      </c>
      <c r="B43">
        <f ca="1"/>
        <v>22021401</v>
      </c>
      <c r="C43" t="str">
        <f ca="1"/>
        <v>김병수</v>
      </c>
      <c r="D43" t="str">
        <f ca="1"/>
        <v>프로덕트본부</v>
      </c>
      <c r="E43" t="str">
        <f ca="1"/>
        <v>개발2실</v>
      </c>
      <c r="F43" t="str">
        <f ca="1"/>
        <v>개발</v>
      </c>
      <c r="G43" t="str">
        <f ca="1"/>
        <v>Director</v>
      </c>
      <c r="H43" t="str">
        <f ca="1"/>
        <v>실리드</v>
      </c>
      <c r="I43">
        <f ca="1"/>
        <v>44606</v>
      </c>
      <c r="J43">
        <f ca="1"/>
        <v>44606</v>
      </c>
      <c r="K43" t="str">
        <f ca="1"/>
        <v>정규직</v>
      </c>
      <c r="L43" t="str">
        <f ca="1"/>
        <v>연구직</v>
      </c>
      <c r="M43" t="str">
        <f ca="1"/>
        <v>재직</v>
      </c>
      <c r="N43" t="str">
        <f ca="1"/>
        <v>810424-1036710</v>
      </c>
      <c r="O43">
        <f ca="1"/>
        <v>29700</v>
      </c>
      <c r="P43" t="str">
        <f ca="1"/>
        <v>남</v>
      </c>
      <c r="Q43">
        <f ca="1"/>
        <v>45</v>
      </c>
      <c r="R43">
        <f ca="1"/>
        <v>43</v>
      </c>
      <c r="S43" t="str">
        <f ca="1"/>
        <v>010-9163-5910</v>
      </c>
      <c r="T43" t="str">
        <f ca="1"/>
        <v xml:space="preserve">경기도 성남시 분당구 미금로 63, 305동 103호 (구미동, 무지개마을)  </v>
      </c>
      <c r="U43" t="str">
        <f ca="1"/>
        <v>byungsu.kim@neurophet.com</v>
      </c>
    </row>
    <row r="44" spans="1:21" x14ac:dyDescent="0.3">
      <c r="A44">
        <f ca="1"/>
        <v>43</v>
      </c>
      <c r="B44">
        <f ca="1"/>
        <v>22021402</v>
      </c>
      <c r="C44" t="str">
        <f ca="1"/>
        <v>서영태</v>
      </c>
      <c r="D44" t="str">
        <f ca="1"/>
        <v>프로덕트본부</v>
      </c>
      <c r="E44" t="str">
        <f ca="1"/>
        <v>Vascular팀</v>
      </c>
      <c r="F44" t="str">
        <f ca="1"/>
        <v>개발</v>
      </c>
      <c r="G44" t="str">
        <f ca="1"/>
        <v>Lead</v>
      </c>
      <c r="H44" t="str">
        <f ca="1"/>
        <v>팀리드</v>
      </c>
      <c r="I44">
        <f ca="1"/>
        <v>44606</v>
      </c>
      <c r="J44">
        <f ca="1"/>
        <v>44606</v>
      </c>
      <c r="K44" t="str">
        <f ca="1"/>
        <v>정규직</v>
      </c>
      <c r="L44" t="str">
        <f ca="1"/>
        <v>연구직</v>
      </c>
      <c r="M44" t="str">
        <f ca="1"/>
        <v>재직</v>
      </c>
      <c r="N44" t="str">
        <f ca="1"/>
        <v>740407-1067012</v>
      </c>
      <c r="O44">
        <f ca="1"/>
        <v>27126</v>
      </c>
      <c r="P44" t="str">
        <f ca="1"/>
        <v>남</v>
      </c>
      <c r="Q44">
        <f ca="1"/>
        <v>52</v>
      </c>
      <c r="R44">
        <f ca="1"/>
        <v>50</v>
      </c>
      <c r="S44" t="str">
        <f ca="1"/>
        <v>010-2629-1512</v>
      </c>
      <c r="T44" t="str">
        <f ca="1"/>
        <v>서울특별시 동작구 성대로11길 12 2층</v>
      </c>
      <c r="U44" t="str">
        <f ca="1"/>
        <v>youngtae.seo@neurophet.com</v>
      </c>
    </row>
    <row r="45" spans="1:21" x14ac:dyDescent="0.3">
      <c r="A45">
        <f ca="1"/>
        <v>44</v>
      </c>
      <c r="B45">
        <f ca="1"/>
        <v>22021403</v>
      </c>
      <c r="C45" t="str">
        <f ca="1"/>
        <v>장문종</v>
      </c>
      <c r="D45" t="str">
        <f ca="1"/>
        <v>프로덕트본부</v>
      </c>
      <c r="E45" t="str">
        <f ca="1"/>
        <v>tESplan팀</v>
      </c>
      <c r="F45" t="str">
        <f ca="1"/>
        <v>개발</v>
      </c>
      <c r="G45" t="str">
        <f ca="1"/>
        <v>Lead</v>
      </c>
      <c r="H45" t="str">
        <f ca="1"/>
        <v>팀리드</v>
      </c>
      <c r="I45">
        <f ca="1"/>
        <v>44606</v>
      </c>
      <c r="J45">
        <f ca="1"/>
        <v>44606</v>
      </c>
      <c r="K45" t="str">
        <f ca="1"/>
        <v>정규직</v>
      </c>
      <c r="L45" t="str">
        <f ca="1"/>
        <v>연구직</v>
      </c>
      <c r="M45" t="str">
        <f ca="1"/>
        <v>재직</v>
      </c>
      <c r="N45" t="str">
        <f ca="1"/>
        <v>811013-1069525</v>
      </c>
      <c r="O45">
        <f ca="1"/>
        <v>29872</v>
      </c>
      <c r="P45" t="str">
        <f ca="1"/>
        <v>남</v>
      </c>
      <c r="Q45">
        <f ca="1"/>
        <v>45</v>
      </c>
      <c r="R45">
        <f ca="1"/>
        <v>43</v>
      </c>
      <c r="S45" t="str">
        <f ca="1"/>
        <v>010-6559-6922</v>
      </c>
      <c r="T45" t="str">
        <f ca="1"/>
        <v>경기도 의왕시 백운중앙로88, 508동 1102호</v>
      </c>
      <c r="U45" t="str">
        <f ca="1"/>
        <v>moonjong.jang@neurophet.com</v>
      </c>
    </row>
    <row r="46" spans="1:21" x14ac:dyDescent="0.3">
      <c r="A46">
        <f ca="1"/>
        <v>45</v>
      </c>
      <c r="B46">
        <f ca="1"/>
        <v>22021404</v>
      </c>
      <c r="C46" t="str">
        <f ca="1"/>
        <v>전만재</v>
      </c>
      <c r="D46" t="str">
        <f ca="1"/>
        <v>프로덕트본부</v>
      </c>
      <c r="E46" t="str">
        <f ca="1"/>
        <v>AQUA팀</v>
      </c>
      <c r="F46" t="str">
        <f ca="1"/>
        <v>개발</v>
      </c>
      <c r="G46" t="str">
        <f ca="1"/>
        <v>Lead</v>
      </c>
      <c r="H46" t="str">
        <f ca="1"/>
        <v>팀리드</v>
      </c>
      <c r="I46">
        <f ca="1"/>
        <v>44606</v>
      </c>
      <c r="J46">
        <f ca="1"/>
        <v>44606</v>
      </c>
      <c r="K46" t="str">
        <f ca="1"/>
        <v>정규직</v>
      </c>
      <c r="L46" t="str">
        <f ca="1"/>
        <v>연구직</v>
      </c>
      <c r="M46" t="str">
        <f ca="1"/>
        <v>재직</v>
      </c>
      <c r="N46" t="str">
        <f ca="1"/>
        <v>860606-1031628</v>
      </c>
      <c r="O46">
        <f ca="1"/>
        <v>31569</v>
      </c>
      <c r="P46" t="str">
        <f ca="1"/>
        <v>남</v>
      </c>
      <c r="Q46">
        <f ca="1"/>
        <v>40</v>
      </c>
      <c r="R46">
        <f ca="1"/>
        <v>38</v>
      </c>
      <c r="S46" t="str">
        <f ca="1"/>
        <v>010-9142-2417</v>
      </c>
      <c r="T46" t="str">
        <f ca="1"/>
        <v>서울특별시 도봉구 해등로 242-11, 102-402</v>
      </c>
      <c r="U46" t="str">
        <f ca="1"/>
        <v>manjae.jeon@neurophet.com</v>
      </c>
    </row>
    <row r="47" spans="1:21" x14ac:dyDescent="0.3">
      <c r="A47">
        <f ca="1"/>
        <v>46</v>
      </c>
      <c r="B47">
        <f ca="1"/>
        <v>22022101</v>
      </c>
      <c r="C47" t="str">
        <f ca="1"/>
        <v>성형모</v>
      </c>
      <c r="D47" t="str">
        <f ca="1"/>
        <v>프로덕트본부</v>
      </c>
      <c r="E47" t="str">
        <f ca="1"/>
        <v>Platform팀</v>
      </c>
      <c r="F47" t="str">
        <f ca="1"/>
        <v>개발</v>
      </c>
      <c r="G47" t="str">
        <f ca="1"/>
        <v>Member</v>
      </c>
      <c r="H47" t="str">
        <f ca="1"/>
        <v>멤버</v>
      </c>
      <c r="I47">
        <f ca="1"/>
        <v>44613</v>
      </c>
      <c r="J47">
        <f ca="1"/>
        <v>44613</v>
      </c>
      <c r="K47" t="str">
        <f ca="1"/>
        <v>정규직</v>
      </c>
      <c r="L47" t="str">
        <f ca="1"/>
        <v>연구직</v>
      </c>
      <c r="M47" t="str">
        <f ca="1"/>
        <v>재직</v>
      </c>
      <c r="N47" t="str">
        <f ca="1"/>
        <v>930523-1031110</v>
      </c>
      <c r="O47">
        <f ca="1"/>
        <v>34112</v>
      </c>
      <c r="P47" t="str">
        <f ca="1"/>
        <v>남</v>
      </c>
      <c r="Q47">
        <f ca="1"/>
        <v>33</v>
      </c>
      <c r="R47">
        <f ca="1"/>
        <v>31</v>
      </c>
      <c r="S47" t="str">
        <f ca="1"/>
        <v>010-9074-5096</v>
      </c>
      <c r="T47" t="str">
        <f ca="1"/>
        <v>서울특별시 관악구 청림5길 56-5</v>
      </c>
      <c r="U47" t="str">
        <f ca="1"/>
        <v>hmseong@neurophet.com</v>
      </c>
    </row>
    <row r="48" spans="1:21" x14ac:dyDescent="0.3">
      <c r="A48">
        <f ca="1"/>
        <v>47</v>
      </c>
      <c r="B48">
        <f ca="1"/>
        <v>22022102</v>
      </c>
      <c r="C48" t="str">
        <f ca="1"/>
        <v>이민우</v>
      </c>
      <c r="D48" t="str">
        <f ca="1"/>
        <v>연구본부</v>
      </c>
      <c r="E48" t="str">
        <f ca="1"/>
        <v>NR2팀</v>
      </c>
      <c r="F48" t="str">
        <f ca="1"/>
        <v>뇌영상분석</v>
      </c>
      <c r="G48" t="str">
        <f ca="1"/>
        <v>Member</v>
      </c>
      <c r="H48" t="str">
        <f ca="1"/>
        <v>멤버</v>
      </c>
      <c r="I48">
        <f ca="1"/>
        <v>44613</v>
      </c>
      <c r="J48">
        <f ca="1"/>
        <v>44613</v>
      </c>
      <c r="K48" t="str">
        <f ca="1"/>
        <v>정규직</v>
      </c>
      <c r="L48" t="str">
        <f ca="1"/>
        <v>연구직</v>
      </c>
      <c r="M48" t="str">
        <f ca="1"/>
        <v>재직</v>
      </c>
      <c r="N48" t="str">
        <f ca="1"/>
        <v>911125-1861527</v>
      </c>
      <c r="O48">
        <f ca="1"/>
        <v>33567</v>
      </c>
      <c r="P48" t="str">
        <f ca="1"/>
        <v>남</v>
      </c>
      <c r="Q48">
        <f ca="1"/>
        <v>35</v>
      </c>
      <c r="R48">
        <f ca="1"/>
        <v>33</v>
      </c>
      <c r="S48" t="str">
        <f ca="1"/>
        <v>010-7366-1897</v>
      </c>
      <c r="T48" t="str">
        <f ca="1"/>
        <v xml:space="preserve">서울 관악구 남부순환로 272길 36 202호 </v>
      </c>
      <c r="U48" t="str">
        <f ca="1"/>
        <v>minwoo@neurophet.com</v>
      </c>
    </row>
    <row r="49" spans="1:21" x14ac:dyDescent="0.3">
      <c r="A49">
        <f ca="1"/>
        <v>48</v>
      </c>
      <c r="B49">
        <f ca="1"/>
        <v>22030202</v>
      </c>
      <c r="C49" t="str">
        <f ca="1"/>
        <v>곽병문</v>
      </c>
      <c r="D49" t="str">
        <f ca="1"/>
        <v>프로덕트본부</v>
      </c>
      <c r="E49" t="str">
        <f ca="1"/>
        <v>Platform팀</v>
      </c>
      <c r="F49" t="str">
        <f ca="1"/>
        <v>DevOps</v>
      </c>
      <c r="G49" t="str">
        <f ca="1"/>
        <v>Lead</v>
      </c>
      <c r="H49" t="str">
        <f ca="1"/>
        <v>팀리드</v>
      </c>
      <c r="I49">
        <f ca="1"/>
        <v>44622</v>
      </c>
      <c r="J49">
        <f ca="1"/>
        <v>44622</v>
      </c>
      <c r="K49" t="str">
        <f ca="1"/>
        <v>정규직</v>
      </c>
      <c r="L49" t="str">
        <f ca="1"/>
        <v>연구직</v>
      </c>
      <c r="M49" t="str">
        <f ca="1"/>
        <v>재직</v>
      </c>
      <c r="N49" t="str">
        <f ca="1"/>
        <v>770612-1163222</v>
      </c>
      <c r="O49">
        <f ca="1"/>
        <v>28288</v>
      </c>
      <c r="P49" t="str">
        <f ca="1"/>
        <v>남</v>
      </c>
      <c r="Q49">
        <f ca="1"/>
        <v>49</v>
      </c>
      <c r="R49">
        <f ca="1"/>
        <v>47</v>
      </c>
      <c r="S49" t="str">
        <f ca="1"/>
        <v>010-5245-2695</v>
      </c>
      <c r="T49" t="str">
        <f ca="1"/>
        <v>경기도 화성시 동탄대로12길 71 센트럴힐즈 동탄아파트 1844동 503호</v>
      </c>
      <c r="U49" t="str">
        <f ca="1"/>
        <v>byungmoon.kwak@neurophet.com</v>
      </c>
    </row>
    <row r="50" spans="1:21" x14ac:dyDescent="0.3">
      <c r="A50">
        <f ca="1"/>
        <v>49</v>
      </c>
      <c r="B50">
        <f ca="1"/>
        <v>22030204</v>
      </c>
      <c r="C50" t="str">
        <f ca="1"/>
        <v>양현식</v>
      </c>
      <c r="D50" t="str">
        <f ca="1"/>
        <v>연구본부</v>
      </c>
      <c r="E50" t="str">
        <f ca="1"/>
        <v>AR3팀</v>
      </c>
      <c r="F50" t="str">
        <f ca="1"/>
        <v>뇌영상분석</v>
      </c>
      <c r="G50" t="str">
        <f ca="1"/>
        <v>Lead</v>
      </c>
      <c r="H50" t="str">
        <f ca="1"/>
        <v>팀리드</v>
      </c>
      <c r="I50">
        <f ca="1"/>
        <v>44622</v>
      </c>
      <c r="J50">
        <f ca="1"/>
        <v>44622</v>
      </c>
      <c r="K50" t="str">
        <f ca="1"/>
        <v>정규직</v>
      </c>
      <c r="L50" t="str">
        <f ca="1"/>
        <v>연구직</v>
      </c>
      <c r="M50" t="str">
        <f ca="1"/>
        <v>재직</v>
      </c>
      <c r="N50" t="str">
        <f ca="1"/>
        <v>931222-1067728</v>
      </c>
      <c r="O50">
        <f ca="1"/>
        <v>34325</v>
      </c>
      <c r="P50" t="str">
        <f ca="1"/>
        <v>남</v>
      </c>
      <c r="Q50">
        <f ca="1"/>
        <v>33</v>
      </c>
      <c r="R50">
        <f ca="1"/>
        <v>31</v>
      </c>
      <c r="S50" t="str">
        <f ca="1"/>
        <v>010-2632-3514</v>
      </c>
      <c r="T50" t="str">
        <f ca="1"/>
        <v>서울시특별시 관악구 쑥고개로13길 6, 701호</v>
      </c>
      <c r="U50" t="str">
        <f ca="1"/>
        <v>hsyang@neurophet.com</v>
      </c>
    </row>
    <row r="51" spans="1:21" x14ac:dyDescent="0.3">
      <c r="A51">
        <f ca="1"/>
        <v>50</v>
      </c>
      <c r="B51">
        <f ca="1"/>
        <v>22030205</v>
      </c>
      <c r="C51" t="str">
        <f ca="1"/>
        <v>최영심</v>
      </c>
      <c r="D51" t="str">
        <f ca="1"/>
        <v>연구본부</v>
      </c>
      <c r="E51" t="str">
        <f ca="1"/>
        <v>NR1팀</v>
      </c>
      <c r="F51" t="str">
        <f ca="1"/>
        <v>뇌영상분석</v>
      </c>
      <c r="G51" t="str">
        <f ca="1"/>
        <v>Lead</v>
      </c>
      <c r="H51" t="str">
        <f ca="1"/>
        <v>팀리드</v>
      </c>
      <c r="I51">
        <f ca="1"/>
        <v>44622</v>
      </c>
      <c r="J51">
        <f ca="1"/>
        <v>44622</v>
      </c>
      <c r="K51" t="str">
        <f ca="1"/>
        <v>정규직</v>
      </c>
      <c r="L51" t="str">
        <f ca="1"/>
        <v>연구직</v>
      </c>
      <c r="M51" t="str">
        <f ca="1"/>
        <v>재직</v>
      </c>
      <c r="N51" t="str">
        <f ca="1"/>
        <v>940509-2678416</v>
      </c>
      <c r="O51">
        <f ca="1"/>
        <v>34463</v>
      </c>
      <c r="P51" t="str">
        <f ca="1"/>
        <v>여</v>
      </c>
      <c r="Q51">
        <f ca="1"/>
        <v>32</v>
      </c>
      <c r="R51">
        <f ca="1"/>
        <v>30</v>
      </c>
      <c r="S51" t="str">
        <f ca="1"/>
        <v>010-5923-4340</v>
      </c>
      <c r="T51" t="str">
        <f ca="1"/>
        <v>서울특별시 송파구 송파동 25-14 301호</v>
      </c>
      <c r="U51" t="str">
        <f ca="1"/>
        <v>yschoe@neurophet.com</v>
      </c>
    </row>
    <row r="52" spans="1:21" x14ac:dyDescent="0.3">
      <c r="A52">
        <f ca="1"/>
        <v>51</v>
      </c>
      <c r="B52">
        <f ca="1"/>
        <v>22030206</v>
      </c>
      <c r="C52" t="str">
        <f ca="1"/>
        <v>천준우</v>
      </c>
      <c r="D52" t="str">
        <f ca="1"/>
        <v>프로덕트본부</v>
      </c>
      <c r="E52" t="str">
        <f ca="1"/>
        <v>SCM팀</v>
      </c>
      <c r="F52" t="str">
        <f ca="1"/>
        <v>생산관리</v>
      </c>
      <c r="G52" t="str">
        <f ca="1"/>
        <v>Lead</v>
      </c>
      <c r="H52" t="str">
        <f ca="1"/>
        <v>팀리드</v>
      </c>
      <c r="I52">
        <f ca="1"/>
        <v>44622</v>
      </c>
      <c r="J52">
        <f ca="1"/>
        <v>44622</v>
      </c>
      <c r="K52" t="str">
        <f ca="1"/>
        <v>정규직</v>
      </c>
      <c r="L52" t="str">
        <f ca="1"/>
        <v>연구직</v>
      </c>
      <c r="M52" t="str">
        <f ca="1"/>
        <v>재직</v>
      </c>
      <c r="N52" t="str">
        <f ca="1"/>
        <v>871208-1114416</v>
      </c>
      <c r="O52">
        <f ca="1"/>
        <v>32119</v>
      </c>
      <c r="P52" t="str">
        <f ca="1"/>
        <v>남</v>
      </c>
      <c r="Q52">
        <f ca="1"/>
        <v>39</v>
      </c>
      <c r="R52">
        <f ca="1"/>
        <v>37</v>
      </c>
      <c r="S52" t="str">
        <f ca="1"/>
        <v>010-9550-8282</v>
      </c>
      <c r="T52" t="str">
        <f ca="1"/>
        <v>경기도 화성시 동탄신리천로 786 센트럴써밋 2306동 702호</v>
      </c>
      <c r="U52" t="str">
        <f ca="1"/>
        <v>jwchun@neurophet.com</v>
      </c>
    </row>
    <row r="53" spans="1:21" x14ac:dyDescent="0.3">
      <c r="A53">
        <f ca="1"/>
        <v>52</v>
      </c>
      <c r="B53">
        <f ca="1"/>
        <v>22030701</v>
      </c>
      <c r="C53" t="str">
        <f ca="1"/>
        <v>박성환</v>
      </c>
      <c r="D53" t="str">
        <f ca="1"/>
        <v>연구본부</v>
      </c>
      <c r="E53" t="str">
        <f ca="1"/>
        <v>AR1팀</v>
      </c>
      <c r="F53" t="str">
        <f ca="1"/>
        <v>신경망</v>
      </c>
      <c r="G53" t="str">
        <f ca="1"/>
        <v>Member</v>
      </c>
      <c r="H53" t="str">
        <f ca="1"/>
        <v>멤버</v>
      </c>
      <c r="I53">
        <f ca="1"/>
        <v>44627</v>
      </c>
      <c r="J53">
        <f ca="1"/>
        <v>44627</v>
      </c>
      <c r="K53" t="str">
        <f ca="1"/>
        <v>정규직</v>
      </c>
      <c r="L53" t="str">
        <f ca="1"/>
        <v>연구직</v>
      </c>
      <c r="M53" t="str">
        <f ca="1"/>
        <v>재직</v>
      </c>
      <c r="N53" t="str">
        <f ca="1"/>
        <v>971111-1173612</v>
      </c>
      <c r="O53">
        <f ca="1"/>
        <v>35745</v>
      </c>
      <c r="P53" t="str">
        <f ca="1"/>
        <v>남</v>
      </c>
      <c r="Q53">
        <f ca="1"/>
        <v>29</v>
      </c>
      <c r="R53">
        <f ca="1"/>
        <v>27</v>
      </c>
      <c r="S53" t="str">
        <f ca="1"/>
        <v>010-5428-2457</v>
      </c>
      <c r="T53" t="str">
        <f ca="1"/>
        <v>서울특별시 동작구 사당로17길 52, 8동 1506호</v>
      </c>
      <c r="U53" t="str">
        <f ca="1"/>
        <v>shpark@neurophet.com</v>
      </c>
    </row>
    <row r="54" spans="1:21" x14ac:dyDescent="0.3">
      <c r="A54">
        <f ca="1"/>
        <v>53</v>
      </c>
      <c r="B54">
        <f ca="1"/>
        <v>22031501</v>
      </c>
      <c r="C54" t="str">
        <f ca="1"/>
        <v>윤재정</v>
      </c>
      <c r="D54" t="str">
        <f ca="1"/>
        <v>경영본부</v>
      </c>
      <c r="E54" t="str">
        <f ca="1"/>
        <v>PR팀</v>
      </c>
      <c r="F54" t="str">
        <f ca="1"/>
        <v>디자인</v>
      </c>
      <c r="G54" t="str">
        <f ca="1"/>
        <v>Member</v>
      </c>
      <c r="H54" t="str">
        <f ca="1"/>
        <v>멤버</v>
      </c>
      <c r="I54">
        <f ca="1"/>
        <v>44635</v>
      </c>
      <c r="J54">
        <f ca="1"/>
        <v>44635</v>
      </c>
      <c r="K54" t="str">
        <f ca="1"/>
        <v>정규직</v>
      </c>
      <c r="L54" t="str">
        <f ca="1"/>
        <v>사무직</v>
      </c>
      <c r="M54" t="str">
        <f ca="1"/>
        <v>재직</v>
      </c>
      <c r="N54" t="str">
        <f ca="1"/>
        <v>951013-2162810</v>
      </c>
      <c r="O54">
        <f ca="1"/>
        <v>34985</v>
      </c>
      <c r="P54" t="str">
        <f ca="1"/>
        <v>여</v>
      </c>
      <c r="Q54">
        <f ca="1"/>
        <v>31</v>
      </c>
      <c r="R54">
        <f ca="1"/>
        <v>29</v>
      </c>
      <c r="S54" t="str">
        <f ca="1"/>
        <v>010-9536-3260</v>
      </c>
      <c r="T54" t="str">
        <f ca="1"/>
        <v>경기도 용인시 수지구 신봉 3로 25, 305-1101</v>
      </c>
      <c r="U54" t="str">
        <f ca="1"/>
        <v>jjyoon@neurophet.com</v>
      </c>
    </row>
    <row r="55" spans="1:21" x14ac:dyDescent="0.3">
      <c r="A55">
        <f ca="1"/>
        <v>54</v>
      </c>
      <c r="B55">
        <f ca="1"/>
        <v>22040101</v>
      </c>
      <c r="C55" t="str">
        <f ca="1"/>
        <v>조은혜</v>
      </c>
      <c r="D55" t="str">
        <f ca="1"/>
        <v>프로덕트본부</v>
      </c>
      <c r="E55" t="str">
        <f ca="1"/>
        <v>Vascular팀</v>
      </c>
      <c r="F55" t="str">
        <f ca="1"/>
        <v>Front_End개발</v>
      </c>
      <c r="G55" t="str">
        <f ca="1"/>
        <v>Member</v>
      </c>
      <c r="H55" t="str">
        <f ca="1"/>
        <v>멤버</v>
      </c>
      <c r="I55">
        <f ca="1"/>
        <v>44652</v>
      </c>
      <c r="J55">
        <f ca="1"/>
        <v>44652</v>
      </c>
      <c r="K55" t="str">
        <f ca="1"/>
        <v>정규직</v>
      </c>
      <c r="L55" t="str">
        <f ca="1"/>
        <v>연구직</v>
      </c>
      <c r="M55" t="str">
        <f ca="1"/>
        <v>재직</v>
      </c>
      <c r="N55" t="str">
        <f ca="1"/>
        <v>840913-2074818</v>
      </c>
      <c r="O55">
        <f ca="1"/>
        <v>30938</v>
      </c>
      <c r="P55" t="str">
        <f ca="1"/>
        <v>여</v>
      </c>
      <c r="Q55">
        <f ca="1"/>
        <v>42</v>
      </c>
      <c r="R55">
        <f ca="1"/>
        <v>40</v>
      </c>
      <c r="S55" t="str">
        <f ca="1"/>
        <v>010-9156-2674</v>
      </c>
      <c r="T55" t="str">
        <f ca="1"/>
        <v>경기도 성남시 중원구 둔촌대로113번길 12-1 (성남동, 럭키타운빌) 3동 302호</v>
      </c>
      <c r="U55" t="str">
        <f ca="1"/>
        <v>eunhyecho@neurophet.com</v>
      </c>
    </row>
    <row r="56" spans="1:21" x14ac:dyDescent="0.3">
      <c r="A56">
        <f ca="1"/>
        <v>55</v>
      </c>
      <c r="B56">
        <f ca="1"/>
        <v>22040102</v>
      </c>
      <c r="C56" t="str">
        <f ca="1"/>
        <v>이윤진</v>
      </c>
      <c r="D56" t="str">
        <f ca="1"/>
        <v>비즈니스본부</v>
      </c>
      <c r="E56" t="str">
        <f ca="1"/>
        <v>마케팅팀</v>
      </c>
      <c r="F56" t="str">
        <f ca="1"/>
        <v>마케팅</v>
      </c>
      <c r="G56" t="str">
        <f ca="1"/>
        <v>Member</v>
      </c>
      <c r="H56" t="str">
        <f ca="1"/>
        <v>멤버</v>
      </c>
      <c r="I56">
        <f ca="1"/>
        <v>44652</v>
      </c>
      <c r="J56">
        <f ca="1"/>
        <v>44652</v>
      </c>
      <c r="K56" t="str">
        <f ca="1"/>
        <v>정규직</v>
      </c>
      <c r="L56" t="str">
        <f ca="1"/>
        <v>사무직</v>
      </c>
      <c r="M56" t="str">
        <f ca="1"/>
        <v>재직</v>
      </c>
      <c r="N56" t="str">
        <f ca="1"/>
        <v>880327-2188011</v>
      </c>
      <c r="O56">
        <f ca="1"/>
        <v>32229</v>
      </c>
      <c r="P56" t="str">
        <f ca="1"/>
        <v>여</v>
      </c>
      <c r="Q56">
        <f ca="1"/>
        <v>38</v>
      </c>
      <c r="R56">
        <f ca="1"/>
        <v>37</v>
      </c>
      <c r="S56" t="str">
        <f ca="1"/>
        <v>010-8650-2105</v>
      </c>
      <c r="T56" t="str">
        <f ca="1"/>
        <v>경기도 수원시 영통구 웰빙타운로 19 8204동 604호</v>
      </c>
      <c r="U56" t="str">
        <f ca="1"/>
        <v>yjlee@neurophet.com</v>
      </c>
    </row>
    <row r="57" spans="1:21" x14ac:dyDescent="0.3">
      <c r="A57">
        <f ca="1"/>
        <v>56</v>
      </c>
      <c r="B57">
        <f ca="1"/>
        <v>22041101</v>
      </c>
      <c r="C57" t="str">
        <f ca="1"/>
        <v>조용우</v>
      </c>
      <c r="D57" t="str">
        <f ca="1"/>
        <v>대표이사</v>
      </c>
      <c r="E57" t="str">
        <f ca="1"/>
        <v>QA팀</v>
      </c>
      <c r="F57" t="str">
        <f ca="1"/>
        <v>QA</v>
      </c>
      <c r="G57" t="str">
        <f ca="1"/>
        <v>Lead</v>
      </c>
      <c r="H57" t="str">
        <f ca="1"/>
        <v>팀리드</v>
      </c>
      <c r="I57">
        <f ca="1"/>
        <v>44662</v>
      </c>
      <c r="J57">
        <f ca="1"/>
        <v>44662</v>
      </c>
      <c r="K57" t="str">
        <f ca="1"/>
        <v>정규직</v>
      </c>
      <c r="L57" t="str">
        <f ca="1"/>
        <v>사무직</v>
      </c>
      <c r="M57" t="str">
        <f ca="1"/>
        <v>재직</v>
      </c>
      <c r="N57" t="str">
        <f ca="1"/>
        <v>820112-1019116</v>
      </c>
      <c r="O57">
        <f ca="1"/>
        <v>29963</v>
      </c>
      <c r="P57" t="str">
        <f ca="1"/>
        <v>남</v>
      </c>
      <c r="Q57">
        <f ca="1"/>
        <v>44</v>
      </c>
      <c r="R57">
        <f ca="1"/>
        <v>43</v>
      </c>
      <c r="S57" t="str">
        <f ca="1"/>
        <v>010-9262-3713</v>
      </c>
      <c r="T57" t="str">
        <f ca="1"/>
        <v>경기도 용인시 기흥구 흥덕3로 60 호반베르디움 1404동 1202호</v>
      </c>
      <c r="U57" t="str">
        <f ca="1"/>
        <v>ywcho@neurophet.com</v>
      </c>
    </row>
    <row r="58" spans="1:21" x14ac:dyDescent="0.3">
      <c r="A58">
        <f ca="1"/>
        <v>57</v>
      </c>
      <c r="B58">
        <f ca="1"/>
        <v>22041102</v>
      </c>
      <c r="C58" t="str">
        <f ca="1"/>
        <v>김현정</v>
      </c>
      <c r="D58" t="str">
        <f ca="1"/>
        <v>비즈니스본부</v>
      </c>
      <c r="E58" t="str">
        <f ca="1"/>
        <v>마케팅팀</v>
      </c>
      <c r="F58" t="str">
        <f ca="1"/>
        <v>Medical Director</v>
      </c>
      <c r="G58" t="str">
        <f ca="1"/>
        <v>Medical Director</v>
      </c>
      <c r="H58" t="str">
        <f ca="1"/>
        <v>멤버</v>
      </c>
      <c r="I58">
        <f ca="1"/>
        <v>44662</v>
      </c>
      <c r="J58">
        <f ca="1"/>
        <v>44662</v>
      </c>
      <c r="K58" t="str">
        <f ca="1"/>
        <v>정규직</v>
      </c>
      <c r="L58" t="str">
        <f ca="1"/>
        <v>사무직</v>
      </c>
      <c r="M58" t="str">
        <f ca="1"/>
        <v>재직</v>
      </c>
      <c r="N58" t="str">
        <f ca="1"/>
        <v>740213-2120611</v>
      </c>
      <c r="O58">
        <f ca="1"/>
        <v>27073</v>
      </c>
      <c r="P58" t="str">
        <f ca="1"/>
        <v>여</v>
      </c>
      <c r="Q58">
        <f ca="1"/>
        <v>52</v>
      </c>
      <c r="R58">
        <f ca="1"/>
        <v>51</v>
      </c>
      <c r="S58" t="str">
        <f ca="1"/>
        <v>010-3594-6216</v>
      </c>
      <c r="T58" t="str">
        <f ca="1"/>
        <v>서울특별시 영등포구 여의도동 63로 45 여의도 시범 아파트 21-112</v>
      </c>
      <c r="U58" t="str">
        <f ca="1"/>
        <v>hjkim@neurophet.com</v>
      </c>
    </row>
    <row r="59" spans="1:21" x14ac:dyDescent="0.3">
      <c r="A59">
        <f ca="1"/>
        <v>58</v>
      </c>
      <c r="B59">
        <f ca="1"/>
        <v>22042501</v>
      </c>
      <c r="C59" t="str">
        <f ca="1"/>
        <v>조은경</v>
      </c>
      <c r="D59" t="str">
        <f ca="1"/>
        <v>프로덕트본부</v>
      </c>
      <c r="E59" t="str">
        <f ca="1"/>
        <v>UX팀</v>
      </c>
      <c r="F59" t="str">
        <f ca="1"/>
        <v>디자인</v>
      </c>
      <c r="G59" t="str">
        <f ca="1"/>
        <v>Member</v>
      </c>
      <c r="H59" t="str">
        <f ca="1"/>
        <v>멤버</v>
      </c>
      <c r="I59">
        <f ca="1"/>
        <v>44676</v>
      </c>
      <c r="J59">
        <f ca="1"/>
        <v>44676</v>
      </c>
      <c r="K59" t="str">
        <f ca="1"/>
        <v>정규직</v>
      </c>
      <c r="L59" t="str">
        <f ca="1"/>
        <v>연구직</v>
      </c>
      <c r="M59" t="str">
        <f ca="1"/>
        <v>재직</v>
      </c>
      <c r="N59" t="str">
        <f ca="1"/>
        <v>830217-2070225</v>
      </c>
      <c r="O59">
        <f ca="1"/>
        <v>30364</v>
      </c>
      <c r="P59" t="str">
        <f ca="1"/>
        <v>여</v>
      </c>
      <c r="Q59">
        <f ca="1"/>
        <v>43</v>
      </c>
      <c r="R59">
        <f ca="1"/>
        <v>42</v>
      </c>
      <c r="S59" t="str">
        <f ca="1"/>
        <v>010-6299-8662</v>
      </c>
      <c r="T59" t="str">
        <f ca="1"/>
        <v>경기도 부천시 지봉로143번길 38 역곡e편한세상2차아파트 201동 309호</v>
      </c>
      <c r="U59" t="str">
        <f ca="1"/>
        <v>ekcho@neurophet.com</v>
      </c>
    </row>
    <row r="60" spans="1:21" x14ac:dyDescent="0.3">
      <c r="A60">
        <f ca="1"/>
        <v>59</v>
      </c>
      <c r="B60">
        <f ca="1"/>
        <v>22060201</v>
      </c>
      <c r="C60" t="str">
        <f ca="1"/>
        <v>서강희</v>
      </c>
      <c r="D60" t="str">
        <f ca="1"/>
        <v>프로덕트본부</v>
      </c>
      <c r="E60" t="str">
        <f ca="1"/>
        <v>AD팀</v>
      </c>
      <c r="F60" t="str">
        <f ca="1"/>
        <v>백엔드_개발</v>
      </c>
      <c r="G60" t="str">
        <f ca="1"/>
        <v>Lead</v>
      </c>
      <c r="H60" t="str">
        <f ca="1"/>
        <v>팀리드</v>
      </c>
      <c r="I60">
        <f ca="1"/>
        <v>44714</v>
      </c>
      <c r="J60">
        <f ca="1"/>
        <v>44714</v>
      </c>
      <c r="K60" t="str">
        <f ca="1"/>
        <v>정규직</v>
      </c>
      <c r="L60" t="str">
        <f ca="1"/>
        <v>연구직</v>
      </c>
      <c r="M60" t="str">
        <f ca="1"/>
        <v>재직</v>
      </c>
      <c r="N60" t="str">
        <f ca="1"/>
        <v>790218-1010719</v>
      </c>
      <c r="O60">
        <f ca="1"/>
        <v>28904</v>
      </c>
      <c r="P60" t="str">
        <f ca="1"/>
        <v>남</v>
      </c>
      <c r="Q60">
        <f ca="1"/>
        <v>47</v>
      </c>
      <c r="R60">
        <f ca="1"/>
        <v>46</v>
      </c>
      <c r="S60" t="str">
        <f ca="1"/>
        <v>010-8420-0808</v>
      </c>
      <c r="T60" t="str">
        <f ca="1"/>
        <v>서울특별시 성북구 돌곶이로40길 46, 꿈의숲 아이파크, 707동 201호</v>
      </c>
      <c r="U60" t="str">
        <f ca="1"/>
        <v>kelly.seo@neurophet.com</v>
      </c>
    </row>
    <row r="61" spans="1:21" x14ac:dyDescent="0.3">
      <c r="A61">
        <f ca="1"/>
        <v>60</v>
      </c>
      <c r="B61">
        <f ca="1"/>
        <v>22060701</v>
      </c>
      <c r="C61" t="str">
        <f ca="1"/>
        <v>권재현</v>
      </c>
      <c r="D61" t="str">
        <f ca="1"/>
        <v>경영본부</v>
      </c>
      <c r="E61" t="str">
        <f ca="1"/>
        <v>PR팀</v>
      </c>
      <c r="F61" t="str">
        <f ca="1"/>
        <v>PR</v>
      </c>
      <c r="G61" t="str">
        <f ca="1"/>
        <v>Lead</v>
      </c>
      <c r="H61" t="str">
        <f ca="1"/>
        <v>팀리드</v>
      </c>
      <c r="I61">
        <f ca="1"/>
        <v>44719</v>
      </c>
      <c r="J61">
        <f ca="1"/>
        <v>44719</v>
      </c>
      <c r="K61" t="str">
        <f ca="1"/>
        <v>정규직</v>
      </c>
      <c r="L61" t="str">
        <f ca="1"/>
        <v>사무직</v>
      </c>
      <c r="M61" t="str">
        <f ca="1"/>
        <v>재직</v>
      </c>
      <c r="N61" t="str">
        <f ca="1"/>
        <v>900619-2675116</v>
      </c>
      <c r="O61">
        <f ca="1"/>
        <v>33043</v>
      </c>
      <c r="P61" t="str">
        <f ca="1"/>
        <v>여</v>
      </c>
      <c r="Q61">
        <f ca="1"/>
        <v>36</v>
      </c>
      <c r="R61">
        <f ca="1"/>
        <v>34</v>
      </c>
      <c r="S61" t="str">
        <f ca="1"/>
        <v>010-9629-1216</v>
      </c>
      <c r="T61" t="str">
        <f ca="1"/>
        <v>경기도 군포시 산본로296, 101동 1305호</v>
      </c>
      <c r="U61" t="str">
        <f ca="1"/>
        <v>jhkwon@neurophet.com</v>
      </c>
    </row>
    <row r="62" spans="1:21" x14ac:dyDescent="0.3">
      <c r="A62">
        <f ca="1"/>
        <v>61</v>
      </c>
      <c r="B62">
        <f ca="1"/>
        <v>22071101</v>
      </c>
      <c r="C62" t="str">
        <f ca="1"/>
        <v>김형택</v>
      </c>
      <c r="D62" t="str">
        <f ca="1"/>
        <v>연구본부</v>
      </c>
      <c r="E62" t="str">
        <f ca="1"/>
        <v>뇌자극팀</v>
      </c>
      <c r="F62" t="str">
        <f ca="1"/>
        <v>데이터분석 및 연구개발</v>
      </c>
      <c r="G62" t="str">
        <f ca="1"/>
        <v>Lead</v>
      </c>
      <c r="H62" t="str">
        <f ca="1"/>
        <v>팀리드</v>
      </c>
      <c r="I62">
        <f ca="1"/>
        <v>44753</v>
      </c>
      <c r="J62">
        <f ca="1"/>
        <v>44753</v>
      </c>
      <c r="K62" t="str">
        <f ca="1"/>
        <v>정규직</v>
      </c>
      <c r="L62" t="str">
        <f ca="1"/>
        <v>연구직</v>
      </c>
      <c r="M62" t="str">
        <f ca="1"/>
        <v>재직</v>
      </c>
      <c r="N62" t="str">
        <f ca="1"/>
        <v>921209-1081623</v>
      </c>
      <c r="O62">
        <f ca="1"/>
        <v>33947</v>
      </c>
      <c r="P62" t="str">
        <f ca="1"/>
        <v>남</v>
      </c>
      <c r="Q62">
        <f ca="1"/>
        <v>34</v>
      </c>
      <c r="R62">
        <f ca="1"/>
        <v>32</v>
      </c>
      <c r="S62" t="str">
        <f ca="1"/>
        <v>010-7940-6265</v>
      </c>
      <c r="T62" t="str">
        <f ca="1"/>
        <v>서울특별시 강남구 강남대로 328, 1309호</v>
      </c>
      <c r="U62" t="str">
        <f ca="1"/>
        <v>htkim@neurophet.com</v>
      </c>
    </row>
    <row r="63" spans="1:21" x14ac:dyDescent="0.3">
      <c r="A63">
        <f ca="1"/>
        <v>62</v>
      </c>
      <c r="B63">
        <f ca="1"/>
        <v>22080101</v>
      </c>
      <c r="C63" t="str">
        <f ca="1"/>
        <v>전병은</v>
      </c>
      <c r="D63" t="str">
        <f ca="1"/>
        <v>비즈니스본부</v>
      </c>
      <c r="E63" t="str">
        <f ca="1"/>
        <v>해외세일즈팀</v>
      </c>
      <c r="F63" t="str">
        <f ca="1"/>
        <v>BD</v>
      </c>
      <c r="G63" t="str">
        <f ca="1"/>
        <v>Member</v>
      </c>
      <c r="H63" t="str">
        <f ca="1"/>
        <v>멤버</v>
      </c>
      <c r="I63">
        <f ca="1"/>
        <v>44774</v>
      </c>
      <c r="J63">
        <f ca="1"/>
        <v>44774</v>
      </c>
      <c r="K63" t="str">
        <f ca="1"/>
        <v>정규직</v>
      </c>
      <c r="L63" t="str">
        <f ca="1"/>
        <v>사무직</v>
      </c>
      <c r="M63" t="str">
        <f ca="1"/>
        <v>재직</v>
      </c>
      <c r="N63" t="str">
        <f ca="1"/>
        <v>851125-2054012</v>
      </c>
      <c r="O63">
        <f ca="1"/>
        <v>31376</v>
      </c>
      <c r="P63" t="str">
        <f ca="1"/>
        <v>여</v>
      </c>
      <c r="Q63">
        <f ca="1"/>
        <v>41</v>
      </c>
      <c r="R63">
        <f ca="1"/>
        <v>39</v>
      </c>
      <c r="S63" t="str">
        <f ca="1"/>
        <v>010-3171-5822</v>
      </c>
      <c r="T63" t="str">
        <f ca="1"/>
        <v>서울특별시 동대문구 사가정로 6 청계Gwell Estates 713</v>
      </c>
      <c r="U63" t="str">
        <f ca="1"/>
        <v>jay_j@neurophet.com</v>
      </c>
    </row>
    <row r="64" spans="1:21" x14ac:dyDescent="0.3">
      <c r="A64">
        <f ca="1"/>
        <v>63</v>
      </c>
      <c r="B64">
        <f ca="1"/>
        <v>22081601</v>
      </c>
      <c r="C64" t="str">
        <f ca="1"/>
        <v>이현지</v>
      </c>
      <c r="D64" t="str">
        <f ca="1"/>
        <v>연구본부</v>
      </c>
      <c r="E64" t="str">
        <f ca="1"/>
        <v>통계팀</v>
      </c>
      <c r="F64" t="str">
        <f ca="1"/>
        <v>뇌영상분석</v>
      </c>
      <c r="G64" t="str">
        <f ca="1"/>
        <v>Member</v>
      </c>
      <c r="H64" t="str">
        <f ca="1"/>
        <v>멤버</v>
      </c>
      <c r="I64">
        <f ca="1"/>
        <v>44789</v>
      </c>
      <c r="J64">
        <f ca="1"/>
        <v>44789</v>
      </c>
      <c r="K64" t="str">
        <f ca="1"/>
        <v>정규직</v>
      </c>
      <c r="L64" t="str">
        <f ca="1"/>
        <v>연구직</v>
      </c>
      <c r="M64" t="str">
        <f ca="1"/>
        <v>재직</v>
      </c>
      <c r="N64" t="str">
        <f ca="1"/>
        <v>981124-2095622</v>
      </c>
      <c r="O64">
        <f ca="1"/>
        <v>36123</v>
      </c>
      <c r="P64" t="str">
        <f ca="1"/>
        <v>여</v>
      </c>
      <c r="Q64">
        <f ca="1"/>
        <v>28</v>
      </c>
      <c r="R64">
        <f ca="1"/>
        <v>26</v>
      </c>
      <c r="S64" t="str">
        <f ca="1"/>
        <v>010-8902-1656</v>
      </c>
      <c r="T64" t="str">
        <f ca="1"/>
        <v>서울특별시 관악구 봉천동 40-33 301호</v>
      </c>
      <c r="U64" t="str">
        <f ca="1"/>
        <v>hj.lee@neurophet.com</v>
      </c>
    </row>
    <row r="65" spans="1:21" x14ac:dyDescent="0.3">
      <c r="A65">
        <f ca="1"/>
        <v>64</v>
      </c>
      <c r="B65">
        <f ca="1"/>
        <v>22082901</v>
      </c>
      <c r="C65" t="str">
        <f ca="1"/>
        <v>김수환</v>
      </c>
      <c r="D65" t="str">
        <f ca="1"/>
        <v>비즈니스본부</v>
      </c>
      <c r="E65" t="str">
        <f ca="1"/>
        <v>마케팅팀</v>
      </c>
      <c r="F65" t="str">
        <f ca="1"/>
        <v>마케팅</v>
      </c>
      <c r="G65" t="str">
        <f ca="1"/>
        <v>Director</v>
      </c>
      <c r="H65" t="str">
        <f ca="1"/>
        <v>팀리드</v>
      </c>
      <c r="I65">
        <f ca="1"/>
        <v>44802</v>
      </c>
      <c r="J65">
        <f ca="1"/>
        <v>44802</v>
      </c>
      <c r="K65" t="str">
        <f ca="1"/>
        <v>정규직</v>
      </c>
      <c r="L65" t="str">
        <f ca="1"/>
        <v>사무직</v>
      </c>
      <c r="M65" t="str">
        <f ca="1"/>
        <v>재직</v>
      </c>
      <c r="N65" t="str">
        <f ca="1"/>
        <v>820413-1683313</v>
      </c>
      <c r="O65">
        <f ca="1"/>
        <v>30054</v>
      </c>
      <c r="P65" t="str">
        <f ca="1"/>
        <v>남</v>
      </c>
      <c r="Q65">
        <f ca="1"/>
        <v>44</v>
      </c>
      <c r="R65">
        <f ca="1"/>
        <v>42</v>
      </c>
      <c r="S65" t="str">
        <f ca="1"/>
        <v>010-2754-7939</v>
      </c>
      <c r="T65" t="str">
        <f ca="1"/>
        <v>서울특별시 광성로17 신촌숲아이파크 101동 201호</v>
      </c>
      <c r="U65" t="str">
        <f ca="1"/>
        <v>suhwan@neurophet.com</v>
      </c>
    </row>
    <row r="66" spans="1:21" x14ac:dyDescent="0.3">
      <c r="A66">
        <f ca="1"/>
        <v>65</v>
      </c>
      <c r="B66">
        <f ca="1"/>
        <v>22090101</v>
      </c>
      <c r="C66" t="str">
        <f ca="1"/>
        <v>이기정</v>
      </c>
      <c r="D66" t="str">
        <f ca="1"/>
        <v>연구본부</v>
      </c>
      <c r="E66" t="str">
        <f ca="1"/>
        <v>의학팀</v>
      </c>
      <c r="F66" t="str">
        <f ca="1"/>
        <v>Medical Director</v>
      </c>
      <c r="G66" t="str">
        <f ca="1"/>
        <v>Medical Director</v>
      </c>
      <c r="H66" t="str">
        <f ca="1"/>
        <v>멤버</v>
      </c>
      <c r="I66">
        <f ca="1"/>
        <v>44805</v>
      </c>
      <c r="J66">
        <f ca="1"/>
        <v>44805</v>
      </c>
      <c r="K66" t="str">
        <f ca="1"/>
        <v>정규직</v>
      </c>
      <c r="L66" t="str">
        <f ca="1"/>
        <v>연구직</v>
      </c>
      <c r="M66" t="str">
        <f ca="1"/>
        <v>재직</v>
      </c>
      <c r="N66" t="str">
        <f ca="1"/>
        <v>820603-2047121</v>
      </c>
      <c r="O66">
        <f ca="1"/>
        <v>30105</v>
      </c>
      <c r="P66" t="str">
        <f ca="1"/>
        <v>여</v>
      </c>
      <c r="Q66">
        <f ca="1"/>
        <v>44</v>
      </c>
      <c r="R66">
        <f ca="1"/>
        <v>42</v>
      </c>
      <c r="S66" t="str">
        <f ca="1"/>
        <v>010-7192-8804</v>
      </c>
      <c r="T66" t="str">
        <f ca="1"/>
        <v>서울특별시 서초구 방배로19길 67, 101동 1107호</v>
      </c>
      <c r="U66" t="str">
        <f ca="1"/>
        <v>kjlee@neurophet.com</v>
      </c>
    </row>
    <row r="67" spans="1:21" x14ac:dyDescent="0.3">
      <c r="A67">
        <f ca="1"/>
        <v>66</v>
      </c>
      <c r="B67">
        <f ca="1"/>
        <v>22092601</v>
      </c>
      <c r="C67" t="str">
        <f ca="1"/>
        <v>김혜원</v>
      </c>
      <c r="D67" t="str">
        <f ca="1"/>
        <v>연구본부</v>
      </c>
      <c r="E67" t="str">
        <f ca="1"/>
        <v>의학팀</v>
      </c>
      <c r="F67" t="str">
        <f ca="1"/>
        <v>Medical Director</v>
      </c>
      <c r="G67" t="str">
        <f ca="1"/>
        <v>Medical Director</v>
      </c>
      <c r="H67" t="str">
        <f ca="1"/>
        <v>멤버</v>
      </c>
      <c r="I67">
        <f ca="1"/>
        <v>44830</v>
      </c>
      <c r="J67">
        <f ca="1"/>
        <v>44830</v>
      </c>
      <c r="K67" t="str">
        <f ca="1"/>
        <v>정규직</v>
      </c>
      <c r="L67" t="str">
        <f ca="1"/>
        <v>연구직</v>
      </c>
      <c r="M67" t="str">
        <f ca="1"/>
        <v>재직</v>
      </c>
      <c r="N67" t="str">
        <f ca="1"/>
        <v>890227-2691319</v>
      </c>
      <c r="O67">
        <f ca="1"/>
        <v>32566</v>
      </c>
      <c r="P67" t="str">
        <f ca="1"/>
        <v>여</v>
      </c>
      <c r="Q67">
        <f ca="1"/>
        <v>37</v>
      </c>
      <c r="R67">
        <f ca="1"/>
        <v>36</v>
      </c>
      <c r="S67" t="str">
        <f ca="1"/>
        <v>010-8427-9039</v>
      </c>
      <c r="T67" t="str">
        <f ca="1"/>
        <v>서울특별시 강동구 상암로 51길 61 101동 2109호</v>
      </c>
      <c r="U67" t="str">
        <f ca="1"/>
        <v>hye@neurophet.com</v>
      </c>
    </row>
    <row r="68" spans="1:21" x14ac:dyDescent="0.3">
      <c r="A68">
        <f ca="1"/>
        <v>67</v>
      </c>
      <c r="B68">
        <f ca="1"/>
        <v>22110101</v>
      </c>
      <c r="C68" t="str">
        <f ca="1"/>
        <v>김경민</v>
      </c>
      <c r="D68" t="str">
        <f ca="1"/>
        <v>프로덕트본부</v>
      </c>
      <c r="E68" t="str">
        <f ca="1"/>
        <v>PMO실</v>
      </c>
      <c r="F68" t="str">
        <f ca="1"/>
        <v>Tech Writer</v>
      </c>
      <c r="G68" t="str">
        <f ca="1"/>
        <v>Member</v>
      </c>
      <c r="H68" t="str">
        <f ca="1"/>
        <v>멤버</v>
      </c>
      <c r="I68">
        <f ca="1"/>
        <v>44866</v>
      </c>
      <c r="J68">
        <f ca="1"/>
        <v>44866</v>
      </c>
      <c r="K68" t="str">
        <f ca="1"/>
        <v>정규직</v>
      </c>
      <c r="L68" t="str">
        <f ca="1"/>
        <v>연구직</v>
      </c>
      <c r="M68" t="str">
        <f ca="1"/>
        <v>재직</v>
      </c>
      <c r="N68" t="str">
        <f ca="1"/>
        <v>790719-2840711</v>
      </c>
      <c r="O68">
        <f ca="1"/>
        <v>29055</v>
      </c>
      <c r="P68" t="str">
        <f ca="1"/>
        <v>여</v>
      </c>
      <c r="Q68">
        <f ca="1"/>
        <v>47</v>
      </c>
      <c r="R68">
        <f ca="1"/>
        <v>45</v>
      </c>
      <c r="S68" t="str">
        <f ca="1"/>
        <v>010-3639-3418</v>
      </c>
      <c r="T68" t="str">
        <f ca="1"/>
        <v>경기도 이천시 증신로 309 105동 1302호</v>
      </c>
      <c r="U68" t="str">
        <f ca="1"/>
        <v>kyungminkim@neurophet.com</v>
      </c>
    </row>
    <row r="69" spans="1:21" x14ac:dyDescent="0.3">
      <c r="A69">
        <f ca="1"/>
        <v>68</v>
      </c>
      <c r="B69">
        <f ca="1"/>
        <v>22110701</v>
      </c>
      <c r="C69" t="str">
        <f ca="1"/>
        <v>김상덕</v>
      </c>
      <c r="D69" t="str">
        <f ca="1"/>
        <v>프로덕트본부</v>
      </c>
      <c r="E69" t="str">
        <f ca="1"/>
        <v>PET팀</v>
      </c>
      <c r="F69" t="str">
        <f ca="1"/>
        <v>개발</v>
      </c>
      <c r="G69" t="str">
        <f ca="1"/>
        <v>Member</v>
      </c>
      <c r="H69" t="str">
        <f ca="1"/>
        <v>멤버</v>
      </c>
      <c r="I69">
        <f ca="1"/>
        <v>44872</v>
      </c>
      <c r="J69">
        <f ca="1"/>
        <v>44872</v>
      </c>
      <c r="K69" t="str">
        <f ca="1"/>
        <v>정규직</v>
      </c>
      <c r="L69" t="str">
        <f ca="1"/>
        <v>연구직</v>
      </c>
      <c r="M69" t="str">
        <f ca="1"/>
        <v>재직</v>
      </c>
      <c r="N69" t="str">
        <f ca="1"/>
        <v>881122-1043111</v>
      </c>
      <c r="O69">
        <f ca="1"/>
        <v>32469</v>
      </c>
      <c r="P69" t="str">
        <f ca="1"/>
        <v>남</v>
      </c>
      <c r="Q69">
        <f ca="1"/>
        <v>38</v>
      </c>
      <c r="R69">
        <f ca="1"/>
        <v>36</v>
      </c>
      <c r="S69" t="str">
        <f ca="1"/>
        <v>010-6234-5642</v>
      </c>
      <c r="T69" t="str">
        <f ca="1"/>
        <v>서울특별시 은평구 역촌동 2-64</v>
      </c>
      <c r="U69" t="str">
        <f ca="1"/>
        <v>sdkim@neurophet.com</v>
      </c>
    </row>
    <row r="70" spans="1:21" x14ac:dyDescent="0.3">
      <c r="A70">
        <f ca="1"/>
        <v>69</v>
      </c>
      <c r="B70">
        <f ca="1"/>
        <v>22112101</v>
      </c>
      <c r="C70" t="str">
        <f ca="1"/>
        <v>우종호</v>
      </c>
      <c r="D70" t="str">
        <f ca="1"/>
        <v>비즈니스본부</v>
      </c>
      <c r="E70" t="str">
        <f ca="1"/>
        <v>국내세일즈팀</v>
      </c>
      <c r="F70" t="str">
        <f ca="1"/>
        <v>영업</v>
      </c>
      <c r="G70" t="str">
        <f ca="1"/>
        <v>Lead</v>
      </c>
      <c r="H70" t="str">
        <f ca="1"/>
        <v>팀리드</v>
      </c>
      <c r="I70">
        <f ca="1"/>
        <v>44886</v>
      </c>
      <c r="J70">
        <f ca="1"/>
        <v>44886</v>
      </c>
      <c r="K70" t="str">
        <f ca="1"/>
        <v>정규직</v>
      </c>
      <c r="L70" t="str">
        <f ca="1"/>
        <v>사무직</v>
      </c>
      <c r="M70" t="str">
        <f ca="1"/>
        <v>재직</v>
      </c>
      <c r="N70" t="str">
        <f ca="1"/>
        <v>820116-1009523</v>
      </c>
      <c r="O70">
        <f ca="1"/>
        <v>29967</v>
      </c>
      <c r="P70" t="str">
        <f ca="1"/>
        <v>남</v>
      </c>
      <c r="Q70">
        <f ca="1"/>
        <v>44</v>
      </c>
      <c r="R70">
        <f ca="1"/>
        <v>43</v>
      </c>
      <c r="S70" t="str">
        <f ca="1"/>
        <v>010-8845-0393</v>
      </c>
      <c r="T70" t="str">
        <f ca="1"/>
        <v>경기도 남양주시 호평동 615 신명스카이뷰 1404동 1101호</v>
      </c>
      <c r="U70" t="str">
        <f ca="1"/>
        <v>woojongho82@neurophet.com</v>
      </c>
    </row>
    <row r="71" spans="1:21" x14ac:dyDescent="0.3">
      <c r="A71">
        <f ca="1"/>
        <v>70</v>
      </c>
      <c r="B71">
        <f ca="1"/>
        <v>22121201</v>
      </c>
      <c r="C71" t="str">
        <f ca="1"/>
        <v>장하림</v>
      </c>
      <c r="D71" t="str">
        <f ca="1"/>
        <v>대표이사</v>
      </c>
      <c r="E71" t="str">
        <f ca="1"/>
        <v>SV팀</v>
      </c>
      <c r="F71" t="str">
        <f ca="1"/>
        <v>SQA</v>
      </c>
      <c r="G71" t="str">
        <f ca="1"/>
        <v>Member</v>
      </c>
      <c r="H71" t="str">
        <f ca="1"/>
        <v>멤버</v>
      </c>
      <c r="I71">
        <f ca="1"/>
        <v>44907</v>
      </c>
      <c r="J71">
        <f ca="1"/>
        <v>44907</v>
      </c>
      <c r="K71" t="str">
        <f ca="1"/>
        <v>정규직</v>
      </c>
      <c r="L71" t="str">
        <f ca="1"/>
        <v>사무직</v>
      </c>
      <c r="M71" t="str">
        <f ca="1"/>
        <v>재직</v>
      </c>
      <c r="N71" t="str">
        <f ca="1"/>
        <v>951224-2352515</v>
      </c>
      <c r="O71">
        <f ca="1"/>
        <v>35057</v>
      </c>
      <c r="P71" t="str">
        <f ca="1"/>
        <v>여</v>
      </c>
      <c r="Q71">
        <f ca="1"/>
        <v>31</v>
      </c>
      <c r="R71">
        <f ca="1"/>
        <v>29</v>
      </c>
      <c r="S71" t="str">
        <f ca="1"/>
        <v>010-6330-9303</v>
      </c>
      <c r="T71" t="str">
        <f ca="1"/>
        <v>경기도 화성시 삼천병마로 1256-13 102동 1004호</v>
      </c>
      <c r="U71" t="str">
        <f ca="1"/>
        <v>harim@neurophet.com</v>
      </c>
    </row>
    <row r="72" spans="1:21" x14ac:dyDescent="0.3">
      <c r="A72">
        <f ca="1"/>
        <v>71</v>
      </c>
      <c r="B72">
        <f ca="1"/>
        <v>22121901</v>
      </c>
      <c r="C72" t="str">
        <f ca="1"/>
        <v>이승룡</v>
      </c>
      <c r="D72" t="str">
        <f ca="1"/>
        <v>프로덕트본부</v>
      </c>
      <c r="E72" t="str">
        <f ca="1"/>
        <v>AQUA팀</v>
      </c>
      <c r="F72" t="str">
        <f ca="1"/>
        <v>Backend</v>
      </c>
      <c r="G72" t="str">
        <f ca="1"/>
        <v>Member</v>
      </c>
      <c r="H72" t="str">
        <f ca="1"/>
        <v>멤버</v>
      </c>
      <c r="I72">
        <f ca="1"/>
        <v>44914</v>
      </c>
      <c r="J72">
        <f ca="1"/>
        <v>44914</v>
      </c>
      <c r="K72" t="str">
        <f ca="1"/>
        <v>정규직</v>
      </c>
      <c r="L72" t="str">
        <f ca="1"/>
        <v>연구직</v>
      </c>
      <c r="M72" t="str">
        <f ca="1"/>
        <v>재직</v>
      </c>
      <c r="N72" t="str">
        <f ca="1"/>
        <v>900710-1184118</v>
      </c>
      <c r="O72">
        <f ca="1"/>
        <v>33064</v>
      </c>
      <c r="P72" t="str">
        <f ca="1"/>
        <v>남</v>
      </c>
      <c r="Q72">
        <f ca="1"/>
        <v>36</v>
      </c>
      <c r="R72">
        <f ca="1"/>
        <v>34</v>
      </c>
      <c r="S72" t="str">
        <f ca="1"/>
        <v>010-4208-1542</v>
      </c>
      <c r="T72" t="str">
        <f ca="1"/>
        <v>경기도 성남시 분당구 판교공원로2길 19, 2층 202호</v>
      </c>
      <c r="U72" t="str">
        <f ca="1"/>
        <v>lsr@neurophet.com</v>
      </c>
    </row>
    <row r="73" spans="1:21" x14ac:dyDescent="0.3">
      <c r="A73">
        <f ca="1"/>
        <v>72</v>
      </c>
      <c r="B73">
        <f ca="1"/>
        <v>23011601</v>
      </c>
      <c r="C73" t="str">
        <f ca="1"/>
        <v>김준혁</v>
      </c>
      <c r="D73" t="str">
        <f ca="1"/>
        <v>프로덕트본부</v>
      </c>
      <c r="E73" t="str">
        <f ca="1"/>
        <v>Vascular팀</v>
      </c>
      <c r="F73" t="str">
        <f ca="1"/>
        <v>개발</v>
      </c>
      <c r="G73" t="str">
        <f ca="1"/>
        <v>Member</v>
      </c>
      <c r="H73" t="str">
        <f ca="1"/>
        <v>멤버</v>
      </c>
      <c r="I73">
        <f ca="1"/>
        <v>44942</v>
      </c>
      <c r="J73">
        <f ca="1"/>
        <v>44942</v>
      </c>
      <c r="K73" t="str">
        <f ca="1"/>
        <v>정규직</v>
      </c>
      <c r="L73" t="str">
        <f ca="1"/>
        <v>연구직</v>
      </c>
      <c r="M73" t="str">
        <f ca="1"/>
        <v>재직</v>
      </c>
      <c r="N73" t="str">
        <f ca="1"/>
        <v>851016-1804615</v>
      </c>
      <c r="O73">
        <f ca="1"/>
        <v>31336</v>
      </c>
      <c r="P73" t="str">
        <f ca="1"/>
        <v>남</v>
      </c>
      <c r="Q73">
        <f ca="1"/>
        <v>41</v>
      </c>
      <c r="R73">
        <f ca="1"/>
        <v>39</v>
      </c>
      <c r="S73" t="str">
        <f ca="1"/>
        <v>010-4456-1016</v>
      </c>
      <c r="T73" t="str">
        <f ca="1"/>
        <v>서울특별시 동작구 대방동2길 42 대방아파트 201호</v>
      </c>
      <c r="U73" t="str">
        <f ca="1"/>
        <v>junhyuk@neurophet.com</v>
      </c>
    </row>
    <row r="74" spans="1:21" x14ac:dyDescent="0.3">
      <c r="A74">
        <f ca="1"/>
        <v>73</v>
      </c>
      <c r="B74">
        <f ca="1"/>
        <v>23022001</v>
      </c>
      <c r="C74" t="str">
        <f ca="1"/>
        <v>유상하</v>
      </c>
      <c r="D74" t="str">
        <f ca="1"/>
        <v>비즈니스본부</v>
      </c>
      <c r="E74" t="str">
        <f ca="1"/>
        <v>마케팅팀</v>
      </c>
      <c r="F74" t="str">
        <f ca="1"/>
        <v>제품마케팅</v>
      </c>
      <c r="G74" t="str">
        <f ca="1"/>
        <v>Member</v>
      </c>
      <c r="H74" t="str">
        <f ca="1"/>
        <v>멤버</v>
      </c>
      <c r="I74">
        <f ca="1"/>
        <v>44977</v>
      </c>
      <c r="J74">
        <f ca="1"/>
        <v>44977</v>
      </c>
      <c r="K74" t="str">
        <f ca="1"/>
        <v>정규직</v>
      </c>
      <c r="L74" t="str">
        <f ca="1"/>
        <v>사무직</v>
      </c>
      <c r="M74" t="str">
        <f ca="1"/>
        <v>재직</v>
      </c>
      <c r="N74" t="str">
        <f ca="1"/>
        <v>891215-2070319</v>
      </c>
      <c r="O74">
        <f ca="1"/>
        <v>32857</v>
      </c>
      <c r="P74" t="str">
        <f ca="1"/>
        <v>여</v>
      </c>
      <c r="Q74">
        <f ca="1"/>
        <v>37</v>
      </c>
      <c r="R74">
        <f ca="1"/>
        <v>35</v>
      </c>
      <c r="S74" t="str">
        <f ca="1"/>
        <v>010-7618-3117</v>
      </c>
      <c r="T74" t="str">
        <f ca="1"/>
        <v>서울특별시 송파구 올림픽로32길 19-24</v>
      </c>
      <c r="U74" t="str">
        <f ca="1"/>
        <v>shryu@neurophet.com</v>
      </c>
    </row>
    <row r="75" spans="1:21" x14ac:dyDescent="0.3">
      <c r="A75">
        <f ca="1"/>
        <v>74</v>
      </c>
      <c r="B75">
        <f ca="1"/>
        <v>23022701</v>
      </c>
      <c r="C75" t="str">
        <f ca="1"/>
        <v>조상영</v>
      </c>
      <c r="D75" t="str">
        <f ca="1"/>
        <v>연구본부</v>
      </c>
      <c r="E75" t="str">
        <f ca="1"/>
        <v>AR1팀</v>
      </c>
      <c r="F75" t="str">
        <f ca="1"/>
        <v>인공지능개발</v>
      </c>
      <c r="G75" t="str">
        <f ca="1"/>
        <v>Member</v>
      </c>
      <c r="H75" t="str">
        <f ca="1"/>
        <v>멤버</v>
      </c>
      <c r="I75">
        <f ca="1"/>
        <v>44984</v>
      </c>
      <c r="J75">
        <f ca="1"/>
        <v>44984</v>
      </c>
      <c r="K75" t="str">
        <f ca="1"/>
        <v>정규직</v>
      </c>
      <c r="L75" t="str">
        <f ca="1"/>
        <v>연구직</v>
      </c>
      <c r="M75" t="str">
        <f ca="1"/>
        <v>재직</v>
      </c>
      <c r="N75" t="str">
        <f ca="1"/>
        <v>950623-1929415</v>
      </c>
      <c r="O75">
        <f ca="1"/>
        <v>34873</v>
      </c>
      <c r="P75" t="str">
        <f ca="1"/>
        <v>남</v>
      </c>
      <c r="Q75">
        <f ca="1"/>
        <v>31</v>
      </c>
      <c r="R75">
        <f ca="1"/>
        <v>29</v>
      </c>
      <c r="S75" t="str">
        <f ca="1"/>
        <v>010-2865-7058</v>
      </c>
      <c r="T75" t="str">
        <f ca="1"/>
        <v>서울특별시 송파구 백제고분로50길 41-16 202호</v>
      </c>
      <c r="U75" t="str">
        <f ca="1"/>
        <v>jsy@neurophet.com</v>
      </c>
    </row>
    <row r="76" spans="1:21" x14ac:dyDescent="0.3">
      <c r="A76">
        <f ca="1"/>
        <v>75</v>
      </c>
      <c r="B76">
        <f ca="1"/>
        <v>23042401</v>
      </c>
      <c r="C76" t="str">
        <f ca="1"/>
        <v>최지원</v>
      </c>
      <c r="D76" t="str">
        <f ca="1"/>
        <v>비즈니스본부</v>
      </c>
      <c r="E76" t="str">
        <f ca="1"/>
        <v>영업관리팀</v>
      </c>
      <c r="F76" t="str">
        <f ca="1"/>
        <v>영업지원</v>
      </c>
      <c r="G76" t="str">
        <f ca="1"/>
        <v>Member</v>
      </c>
      <c r="H76" t="str">
        <f ca="1"/>
        <v>멤버</v>
      </c>
      <c r="I76">
        <f ca="1"/>
        <v>45040</v>
      </c>
      <c r="J76">
        <f ca="1"/>
        <v>45131</v>
      </c>
      <c r="K76" t="str">
        <f ca="1"/>
        <v>정규직</v>
      </c>
      <c r="L76" t="str">
        <f ca="1"/>
        <v>사무직</v>
      </c>
      <c r="M76" t="str">
        <f ca="1"/>
        <v>재직</v>
      </c>
      <c r="N76" t="str">
        <f ca="1"/>
        <v>040521-4071918</v>
      </c>
      <c r="O76">
        <f ca="1"/>
        <v>38128</v>
      </c>
      <c r="P76" t="str">
        <f ca="1"/>
        <v>여</v>
      </c>
      <c r="Q76">
        <f ca="1"/>
        <v>22</v>
      </c>
      <c r="R76">
        <f ca="1"/>
        <v>20</v>
      </c>
      <c r="S76" t="str">
        <f ca="1"/>
        <v>010-4065-5897</v>
      </c>
      <c r="T76" t="str">
        <f ca="1"/>
        <v>서울특별시 서초구 방배중앙로23길11, 401호(방배동)</v>
      </c>
      <c r="U76" t="str">
        <f ca="1"/>
        <v>jiwon@neurophet.com</v>
      </c>
    </row>
    <row r="77" spans="1:21" x14ac:dyDescent="0.3">
      <c r="A77">
        <f ca="1"/>
        <v>76</v>
      </c>
      <c r="B77">
        <f ca="1"/>
        <v>23071702</v>
      </c>
      <c r="C77" t="str">
        <f ca="1"/>
        <v>박미정</v>
      </c>
      <c r="D77" t="str">
        <f ca="1"/>
        <v>연구본부</v>
      </c>
      <c r="E77" t="str">
        <f ca="1"/>
        <v>TechOps팀</v>
      </c>
      <c r="F77" t="str">
        <f ca="1"/>
        <v>Dataops</v>
      </c>
      <c r="G77" t="str">
        <f ca="1"/>
        <v>Lead</v>
      </c>
      <c r="H77" t="str">
        <f ca="1"/>
        <v>팀리드</v>
      </c>
      <c r="I77">
        <f ca="1"/>
        <v>45124</v>
      </c>
      <c r="J77">
        <f ca="1"/>
        <v>45124</v>
      </c>
      <c r="K77" t="str">
        <f ca="1"/>
        <v>정규직</v>
      </c>
      <c r="L77" t="str">
        <f ca="1"/>
        <v>연구직</v>
      </c>
      <c r="M77" t="str">
        <f ca="1"/>
        <v>재직</v>
      </c>
      <c r="N77" t="str">
        <f ca="1"/>
        <v>910529-2351223</v>
      </c>
      <c r="O77">
        <f ca="1"/>
        <v>33387</v>
      </c>
      <c r="P77" t="str">
        <f ca="1"/>
        <v>여</v>
      </c>
      <c r="Q77">
        <f ca="1"/>
        <v>35</v>
      </c>
      <c r="R77">
        <f ca="1"/>
        <v>33</v>
      </c>
      <c r="S77" t="str">
        <f ca="1"/>
        <v>010-9161-2950</v>
      </c>
      <c r="T77" t="str">
        <f ca="1"/>
        <v>경기도 시흥시 장현능곡로 144, 501동 105호</v>
      </c>
      <c r="U77" t="str">
        <f ca="1"/>
        <v>mijung@neurophet.com</v>
      </c>
    </row>
    <row r="78" spans="1:21" x14ac:dyDescent="0.3">
      <c r="A78">
        <f ca="1"/>
        <v>77</v>
      </c>
      <c r="B78">
        <f ca="1"/>
        <v>23072401</v>
      </c>
      <c r="C78" t="str">
        <f ca="1"/>
        <v>김하진</v>
      </c>
      <c r="D78" t="str">
        <f ca="1"/>
        <v>연구본부</v>
      </c>
      <c r="E78" t="str">
        <f ca="1"/>
        <v>TechOps팀</v>
      </c>
      <c r="F78" t="str">
        <f ca="1"/>
        <v>영상데이터 분석연구</v>
      </c>
      <c r="G78" t="str">
        <f ca="1"/>
        <v>Member</v>
      </c>
      <c r="H78" t="str">
        <f ca="1"/>
        <v>멤버</v>
      </c>
      <c r="I78">
        <f ca="1"/>
        <v>45131</v>
      </c>
      <c r="J78">
        <f ca="1"/>
        <v>45131</v>
      </c>
      <c r="K78" t="str">
        <f ca="1"/>
        <v>정규직</v>
      </c>
      <c r="L78" t="str">
        <f ca="1"/>
        <v>연구직</v>
      </c>
      <c r="M78" t="str">
        <f ca="1"/>
        <v>재직</v>
      </c>
      <c r="N78" t="str">
        <f ca="1"/>
        <v>970405-2822919</v>
      </c>
      <c r="O78">
        <f ca="1"/>
        <v>35525</v>
      </c>
      <c r="P78" t="str">
        <f ca="1"/>
        <v>여</v>
      </c>
      <c r="Q78">
        <f ca="1"/>
        <v>29</v>
      </c>
      <c r="R78">
        <f ca="1"/>
        <v>27</v>
      </c>
      <c r="S78" t="str">
        <f ca="1"/>
        <v>010-5597-0405</v>
      </c>
      <c r="T78" t="str">
        <f ca="1"/>
        <v xml:space="preserve">서울특별시 중랑구 공릉로2길 8-4, 710호 </v>
      </c>
      <c r="U78" t="str">
        <f ca="1"/>
        <v>hajin@neurophet.com</v>
      </c>
    </row>
    <row r="79" spans="1:21" x14ac:dyDescent="0.3">
      <c r="A79">
        <f ca="1"/>
        <v>78</v>
      </c>
      <c r="B79">
        <f ca="1"/>
        <v>23072601</v>
      </c>
      <c r="C79" t="str">
        <f ca="1"/>
        <v>이승주</v>
      </c>
      <c r="D79" t="str">
        <f ca="1"/>
        <v>비즈니스본부</v>
      </c>
      <c r="E79" t="str">
        <f ca="1"/>
        <v>마케팅팀</v>
      </c>
      <c r="F79" t="str">
        <f ca="1"/>
        <v>과제</v>
      </c>
      <c r="G79" t="str">
        <f ca="1"/>
        <v>Member</v>
      </c>
      <c r="H79" t="str">
        <f ca="1"/>
        <v>멤버</v>
      </c>
      <c r="I79">
        <f ca="1"/>
        <v>45133</v>
      </c>
      <c r="J79">
        <f ca="1"/>
        <v>45133</v>
      </c>
      <c r="K79" t="str">
        <f ca="1"/>
        <v>정규직</v>
      </c>
      <c r="L79" t="str">
        <f ca="1"/>
        <v>사무직</v>
      </c>
      <c r="M79" t="str">
        <f ca="1"/>
        <v>재직</v>
      </c>
      <c r="N79" t="str">
        <f ca="1"/>
        <v>950331-1057410</v>
      </c>
      <c r="O79">
        <f ca="1"/>
        <v>34789</v>
      </c>
      <c r="P79" t="str">
        <f ca="1"/>
        <v>남</v>
      </c>
      <c r="Q79">
        <f ca="1"/>
        <v>31</v>
      </c>
      <c r="R79">
        <f ca="1"/>
        <v>30</v>
      </c>
      <c r="S79" t="str">
        <f ca="1"/>
        <v>010-8279-6633</v>
      </c>
      <c r="T79" t="str">
        <f ca="1"/>
        <v>경기도 안양시 만안구 경수대로 1193 116동 7001호</v>
      </c>
      <c r="U79" t="str">
        <f ca="1"/>
        <v>sjsj0331@neurophet.com</v>
      </c>
    </row>
    <row r="80" spans="1:21" x14ac:dyDescent="0.3">
      <c r="A80">
        <f ca="1"/>
        <v>79</v>
      </c>
      <c r="B80">
        <f ca="1"/>
        <v>23082301</v>
      </c>
      <c r="C80" t="str">
        <f ca="1"/>
        <v>박인영</v>
      </c>
      <c r="D80" t="str">
        <f ca="1"/>
        <v>연구본부</v>
      </c>
      <c r="E80" t="str">
        <f ca="1"/>
        <v>연구기획팀</v>
      </c>
      <c r="F80" t="str">
        <f ca="1"/>
        <v>과제</v>
      </c>
      <c r="G80" t="str">
        <f ca="1"/>
        <v>Member</v>
      </c>
      <c r="H80" t="str">
        <f ca="1"/>
        <v>멤버</v>
      </c>
      <c r="I80">
        <f ca="1"/>
        <v>45161</v>
      </c>
      <c r="J80">
        <f ca="1"/>
        <v>45161</v>
      </c>
      <c r="K80" t="str">
        <f ca="1"/>
        <v>정규직</v>
      </c>
      <c r="L80" t="str">
        <f ca="1"/>
        <v>연구직</v>
      </c>
      <c r="M80" t="str">
        <f ca="1"/>
        <v>재직</v>
      </c>
      <c r="N80" t="str">
        <f ca="1"/>
        <v>960104-2830120</v>
      </c>
      <c r="O80">
        <f ca="1"/>
        <v>35068</v>
      </c>
      <c r="P80" t="str">
        <f ca="1"/>
        <v>여</v>
      </c>
      <c r="Q80">
        <f ca="1"/>
        <v>30</v>
      </c>
      <c r="R80">
        <f ca="1"/>
        <v>29</v>
      </c>
      <c r="S80" t="str">
        <f ca="1"/>
        <v>010-9228-3553</v>
      </c>
      <c r="T80" t="str">
        <f ca="1"/>
        <v xml:space="preserve"> 서울특별시 강남구 강남대로84길 15 1413호</v>
      </c>
      <c r="U80" t="str">
        <f ca="1"/>
        <v>iypark@neurophet.com</v>
      </c>
    </row>
    <row r="81" spans="1:21" x14ac:dyDescent="0.3">
      <c r="A81">
        <f ca="1"/>
        <v>80</v>
      </c>
      <c r="B81">
        <f ca="1"/>
        <v>23082801</v>
      </c>
      <c r="C81" t="str">
        <f ca="1"/>
        <v>이혜신</v>
      </c>
      <c r="D81" t="str">
        <f ca="1"/>
        <v>비즈니스본부</v>
      </c>
      <c r="E81" t="str">
        <f ca="1"/>
        <v>사업개발팀</v>
      </c>
      <c r="F81" t="str">
        <f ca="1"/>
        <v>BD</v>
      </c>
      <c r="G81" t="str">
        <f ca="1"/>
        <v>Member</v>
      </c>
      <c r="H81" t="str">
        <f ca="1"/>
        <v>멤버</v>
      </c>
      <c r="I81">
        <f ca="1"/>
        <v>45166</v>
      </c>
      <c r="J81">
        <f ca="1"/>
        <v>45166</v>
      </c>
      <c r="K81" t="str">
        <f ca="1"/>
        <v>정규직</v>
      </c>
      <c r="L81" t="str">
        <f ca="1"/>
        <v>사무직</v>
      </c>
      <c r="M81" t="str">
        <f ca="1"/>
        <v>재직</v>
      </c>
      <c r="N81" t="str">
        <f ca="1"/>
        <v>910816-2041221</v>
      </c>
      <c r="O81">
        <f ca="1"/>
        <v>33466</v>
      </c>
      <c r="P81" t="str">
        <f ca="1"/>
        <v>여</v>
      </c>
      <c r="Q81">
        <f ca="1"/>
        <v>35</v>
      </c>
      <c r="R81">
        <f ca="1"/>
        <v>33</v>
      </c>
      <c r="S81" t="str">
        <f ca="1"/>
        <v>010-5939-5223</v>
      </c>
      <c r="T81" t="str">
        <f ca="1"/>
        <v>서울특별시 노원구 공릉로46길 32 삼익아파트 102동 1203호</v>
      </c>
      <c r="U81" t="str">
        <f ca="1"/>
        <v>hyesin.lee@neurophet.com</v>
      </c>
    </row>
    <row r="82" spans="1:21" x14ac:dyDescent="0.3">
      <c r="A82">
        <f ca="1"/>
        <v>81</v>
      </c>
      <c r="B82">
        <f ca="1"/>
        <v>23110801</v>
      </c>
      <c r="C82" t="str">
        <f ca="1"/>
        <v>박민정</v>
      </c>
      <c r="D82" t="str">
        <f ca="1"/>
        <v>연구본부</v>
      </c>
      <c r="E82" t="str">
        <f ca="1"/>
        <v>의학팀</v>
      </c>
      <c r="F82" t="str">
        <f ca="1"/>
        <v>-</v>
      </c>
      <c r="G82" t="str">
        <f ca="1"/>
        <v>Member</v>
      </c>
      <c r="H82" t="str">
        <f ca="1"/>
        <v>멤버</v>
      </c>
      <c r="I82">
        <f ca="1"/>
        <v>45238</v>
      </c>
      <c r="J82">
        <f ca="1"/>
        <v>45238</v>
      </c>
      <c r="K82" t="str">
        <f ca="1"/>
        <v>정규직</v>
      </c>
      <c r="L82" t="str">
        <f ca="1"/>
        <v>사무직</v>
      </c>
      <c r="M82" t="str">
        <f ca="1"/>
        <v>재직</v>
      </c>
      <c r="N82" t="str">
        <f ca="1"/>
        <v>890404-2403921</v>
      </c>
      <c r="O82">
        <f ca="1"/>
        <v>32602</v>
      </c>
      <c r="P82" t="str">
        <f ca="1"/>
        <v>여</v>
      </c>
      <c r="Q82">
        <f ca="1"/>
        <v>37</v>
      </c>
      <c r="R82">
        <f ca="1"/>
        <v>36</v>
      </c>
      <c r="S82" t="str">
        <f ca="1"/>
        <v>010-2488-1088</v>
      </c>
      <c r="T82" t="str">
        <f ca="1"/>
        <v>서울특별시 성동구 행당로82 행당한진타운아파트 115동 1704호</v>
      </c>
      <c r="U82" t="str">
        <f ca="1"/>
        <v>emjay@neurophet.com</v>
      </c>
    </row>
    <row r="83" spans="1:21" x14ac:dyDescent="0.3">
      <c r="A83">
        <f ca="1"/>
        <v>82</v>
      </c>
      <c r="B83">
        <f ca="1"/>
        <v>23110901</v>
      </c>
      <c r="C83" t="str">
        <f ca="1"/>
        <v>안소라</v>
      </c>
      <c r="D83" t="str">
        <f ca="1"/>
        <v>연구본부</v>
      </c>
      <c r="E83" t="str">
        <f ca="1"/>
        <v>연구기획팀</v>
      </c>
      <c r="F83" t="str">
        <f ca="1"/>
        <v>과제</v>
      </c>
      <c r="G83" t="str">
        <f ca="1"/>
        <v>Member</v>
      </c>
      <c r="H83" t="str">
        <f ca="1"/>
        <v>멤버</v>
      </c>
      <c r="I83">
        <f ca="1"/>
        <v>45239</v>
      </c>
      <c r="J83">
        <f ca="1"/>
        <v>45239</v>
      </c>
      <c r="K83" t="str">
        <f ca="1"/>
        <v>정규직</v>
      </c>
      <c r="L83" t="str">
        <f ca="1"/>
        <v>연구직</v>
      </c>
      <c r="M83" t="str">
        <f ca="1"/>
        <v>재직</v>
      </c>
      <c r="N83" t="str">
        <f ca="1"/>
        <v>910909-2011319</v>
      </c>
      <c r="O83">
        <f ca="1"/>
        <v>33490</v>
      </c>
      <c r="P83" t="str">
        <f ca="1"/>
        <v>여</v>
      </c>
      <c r="Q83">
        <f ca="1"/>
        <v>35</v>
      </c>
      <c r="R83">
        <f ca="1"/>
        <v>33</v>
      </c>
      <c r="S83" t="str">
        <f ca="1"/>
        <v>010-7605-4991</v>
      </c>
      <c r="T83" t="str">
        <f ca="1"/>
        <v>강원특별자치도 춘천시 우석로101번길 83, 석사3지구부영아파트 105동 1008호</v>
      </c>
      <c r="U83" t="str">
        <f ca="1"/>
        <v>sora09@neurophet.com</v>
      </c>
    </row>
    <row r="84" spans="1:21" x14ac:dyDescent="0.3">
      <c r="A84">
        <f ca="1"/>
        <v>83</v>
      </c>
      <c r="B84">
        <f ca="1"/>
        <v>23112001</v>
      </c>
      <c r="C84" t="str">
        <f ca="1"/>
        <v>이겨레</v>
      </c>
      <c r="D84" t="str">
        <f ca="1"/>
        <v>연구본부</v>
      </c>
      <c r="E84" t="str">
        <f ca="1"/>
        <v>AIOps팀</v>
      </c>
      <c r="F84" t="str">
        <f ca="1"/>
        <v>MLOps</v>
      </c>
      <c r="G84" t="str">
        <f ca="1"/>
        <v>Lead</v>
      </c>
      <c r="H84" t="str">
        <f ca="1"/>
        <v>팀리드</v>
      </c>
      <c r="I84">
        <f ca="1"/>
        <v>45250</v>
      </c>
      <c r="J84">
        <f ca="1"/>
        <v>45250</v>
      </c>
      <c r="K84" t="str">
        <f ca="1"/>
        <v>정규직</v>
      </c>
      <c r="L84" t="str">
        <f ca="1"/>
        <v>연구직</v>
      </c>
      <c r="M84" t="str">
        <f ca="1"/>
        <v>재직</v>
      </c>
      <c r="N84" t="str">
        <f ca="1"/>
        <v>921021-1071310</v>
      </c>
      <c r="O84">
        <f ca="1"/>
        <v>33898</v>
      </c>
      <c r="P84" t="str">
        <f ca="1"/>
        <v>남</v>
      </c>
      <c r="Q84">
        <f ca="1"/>
        <v>34</v>
      </c>
      <c r="R84">
        <f ca="1"/>
        <v>32</v>
      </c>
      <c r="S84" t="str">
        <f ca="1"/>
        <v>010-7628-1355</v>
      </c>
      <c r="T84" t="str">
        <f ca="1"/>
        <v>경기도 성남시 분당구 분당동 120-7 202호</v>
      </c>
      <c r="U84" t="str">
        <f ca="1"/>
        <v>kyeoryelee@neurophet.com</v>
      </c>
    </row>
    <row r="85" spans="1:21" x14ac:dyDescent="0.3">
      <c r="A85">
        <f ca="1"/>
        <v>84</v>
      </c>
      <c r="B85">
        <f ca="1"/>
        <v>23112702</v>
      </c>
      <c r="C85" t="str">
        <f ca="1"/>
        <v>이지은B</v>
      </c>
      <c r="D85" t="str">
        <f ca="1"/>
        <v>프로덕트본부</v>
      </c>
      <c r="E85" t="str">
        <f ca="1"/>
        <v>AD팀</v>
      </c>
      <c r="F85" t="str">
        <f ca="1"/>
        <v>Frontend</v>
      </c>
      <c r="G85" t="str">
        <f ca="1"/>
        <v>Member</v>
      </c>
      <c r="H85" t="str">
        <f ca="1"/>
        <v>멤버</v>
      </c>
      <c r="I85">
        <f ca="1"/>
        <v>45257</v>
      </c>
      <c r="J85">
        <f ca="1"/>
        <v>45257</v>
      </c>
      <c r="K85" t="str">
        <f ca="1"/>
        <v>정규직</v>
      </c>
      <c r="L85" t="str">
        <f ca="1"/>
        <v>연구직</v>
      </c>
      <c r="M85" t="str">
        <f ca="1"/>
        <v>재직</v>
      </c>
      <c r="N85" t="str">
        <f ca="1"/>
        <v>880414-2047714</v>
      </c>
      <c r="O85">
        <f ca="1"/>
        <v>32247</v>
      </c>
      <c r="P85" t="str">
        <f ca="1"/>
        <v>여</v>
      </c>
      <c r="Q85">
        <f ca="1"/>
        <v>38</v>
      </c>
      <c r="R85">
        <f ca="1"/>
        <v>36</v>
      </c>
      <c r="S85" t="str">
        <f ca="1"/>
        <v>010-5299-7260</v>
      </c>
      <c r="T85" t="str">
        <f ca="1"/>
        <v>경기도 용인시 수지구 풍덕천로 91, 109동 1003호</v>
      </c>
      <c r="U85" t="str">
        <f ca="1"/>
        <v>jieunlee@neurophet.com</v>
      </c>
    </row>
    <row r="86" spans="1:21" x14ac:dyDescent="0.3">
      <c r="A86">
        <f ca="1"/>
        <v>85</v>
      </c>
      <c r="B86">
        <f ca="1"/>
        <v>23120402</v>
      </c>
      <c r="C86" t="str">
        <f ca="1"/>
        <v>허웅</v>
      </c>
      <c r="D86" t="str">
        <f ca="1"/>
        <v>프로덕트본부</v>
      </c>
      <c r="E86" t="str">
        <f ca="1"/>
        <v>PM팀</v>
      </c>
      <c r="F86" t="str">
        <f ca="1"/>
        <v>PM</v>
      </c>
      <c r="G86" t="str">
        <f ca="1"/>
        <v>Member</v>
      </c>
      <c r="H86" t="str">
        <f ca="1"/>
        <v>멤버</v>
      </c>
      <c r="I86">
        <f ca="1"/>
        <v>45264</v>
      </c>
      <c r="J86">
        <f ca="1"/>
        <v>45264</v>
      </c>
      <c r="K86" t="str">
        <f ca="1"/>
        <v>정규직</v>
      </c>
      <c r="L86" t="str">
        <f ca="1"/>
        <v>연구직</v>
      </c>
      <c r="M86" t="str">
        <f ca="1"/>
        <v>재직</v>
      </c>
      <c r="N86" t="str">
        <f ca="1"/>
        <v>780507-1237518</v>
      </c>
      <c r="O86">
        <f ca="1"/>
        <v>28617</v>
      </c>
      <c r="P86" t="str">
        <f ca="1"/>
        <v>남</v>
      </c>
      <c r="Q86">
        <f ca="1"/>
        <v>48</v>
      </c>
      <c r="R86">
        <f ca="1"/>
        <v>46</v>
      </c>
      <c r="S86" t="str">
        <f ca="1"/>
        <v>010-8929-2425</v>
      </c>
      <c r="T86" t="str">
        <f ca="1"/>
        <v xml:space="preserve">서울특별시 서초구 서초대로 29길 23-1 401호 </v>
      </c>
      <c r="U86" t="str">
        <f ca="1"/>
        <v>woong@neurophet.com</v>
      </c>
    </row>
    <row r="87" spans="1:21" x14ac:dyDescent="0.3">
      <c r="A87">
        <f ca="1"/>
        <v>86</v>
      </c>
      <c r="B87">
        <f ca="1"/>
        <v>23121801</v>
      </c>
      <c r="C87" t="str">
        <f ca="1"/>
        <v>강현숙</v>
      </c>
      <c r="D87" t="str">
        <f ca="1"/>
        <v>프로덕트본부</v>
      </c>
      <c r="E87" t="str">
        <f ca="1"/>
        <v>Vascular팀</v>
      </c>
      <c r="F87" t="str">
        <f ca="1"/>
        <v>Backend</v>
      </c>
      <c r="G87" t="str">
        <f ca="1"/>
        <v>Member</v>
      </c>
      <c r="H87" t="str">
        <f ca="1"/>
        <v>멤버</v>
      </c>
      <c r="I87">
        <f ca="1"/>
        <v>45278</v>
      </c>
      <c r="J87">
        <f ca="1"/>
        <v>45278</v>
      </c>
      <c r="K87" t="str">
        <f ca="1"/>
        <v>정규직</v>
      </c>
      <c r="L87" t="str">
        <f ca="1"/>
        <v>연구직</v>
      </c>
      <c r="M87" t="str">
        <f ca="1"/>
        <v>재직</v>
      </c>
      <c r="N87" t="str">
        <f ca="1"/>
        <v>871001-2470611</v>
      </c>
      <c r="O87">
        <f ca="1"/>
        <v>32051</v>
      </c>
      <c r="P87" t="str">
        <f ca="1"/>
        <v>여</v>
      </c>
      <c r="Q87">
        <f ca="1"/>
        <v>39</v>
      </c>
      <c r="R87">
        <f ca="1"/>
        <v>37</v>
      </c>
      <c r="S87" t="str">
        <f ca="1"/>
        <v>010-7364-3721</v>
      </c>
      <c r="T87" t="str">
        <f ca="1"/>
        <v>경기도 용인시 수지구 수지로 166 107동 1301호</v>
      </c>
      <c r="U87" t="str">
        <f ca="1"/>
        <v>hyunsookkang@neurophet.com</v>
      </c>
    </row>
    <row r="88" spans="1:21" x14ac:dyDescent="0.3">
      <c r="A88">
        <f ca="1"/>
        <v>87</v>
      </c>
      <c r="B88">
        <f ca="1"/>
        <v>23121901</v>
      </c>
      <c r="C88" t="str">
        <f ca="1"/>
        <v>강지성</v>
      </c>
      <c r="D88" t="str">
        <f ca="1"/>
        <v>프로덕트본부</v>
      </c>
      <c r="E88" t="str">
        <f ca="1"/>
        <v>AD팀</v>
      </c>
      <c r="F88" t="str">
        <f ca="1"/>
        <v>Backend</v>
      </c>
      <c r="G88" t="str">
        <f ca="1"/>
        <v>Member</v>
      </c>
      <c r="H88" t="str">
        <f ca="1"/>
        <v>멤버</v>
      </c>
      <c r="I88">
        <f ca="1"/>
        <v>45279</v>
      </c>
      <c r="J88">
        <f ca="1"/>
        <v>45279</v>
      </c>
      <c r="K88" t="str">
        <f ca="1"/>
        <v>정규직</v>
      </c>
      <c r="L88" t="str">
        <f ca="1"/>
        <v>연구직</v>
      </c>
      <c r="M88" t="str">
        <f ca="1"/>
        <v>재직</v>
      </c>
      <c r="N88" t="str">
        <f ca="1"/>
        <v>950207-2199030</v>
      </c>
      <c r="O88">
        <f ca="1"/>
        <v>34737</v>
      </c>
      <c r="P88" t="str">
        <f ca="1"/>
        <v>여</v>
      </c>
      <c r="Q88">
        <f ca="1"/>
        <v>31</v>
      </c>
      <c r="R88">
        <f ca="1"/>
        <v>30</v>
      </c>
      <c r="S88" t="str">
        <f ca="1"/>
        <v>010-2221-4632</v>
      </c>
      <c r="T88" t="str">
        <f ca="1"/>
        <v>경기도 시흥시 정왕대로117번길 9, 208-404</v>
      </c>
      <c r="U88" t="str">
        <f ca="1"/>
        <v>jisung.kang@neurophet.com</v>
      </c>
    </row>
    <row r="89" spans="1:21" x14ac:dyDescent="0.3">
      <c r="A89">
        <f ca="1"/>
        <v>88</v>
      </c>
      <c r="B89">
        <f ca="1"/>
        <v>23122601</v>
      </c>
      <c r="C89" t="str">
        <f ca="1"/>
        <v>권제세</v>
      </c>
      <c r="D89" t="str">
        <f ca="1"/>
        <v>비즈니스본부</v>
      </c>
      <c r="E89" t="str">
        <f ca="1"/>
        <v>국내세일즈팀</v>
      </c>
      <c r="F89" t="str">
        <f ca="1"/>
        <v>영업</v>
      </c>
      <c r="G89" t="str">
        <f ca="1"/>
        <v>Lead</v>
      </c>
      <c r="H89" t="str">
        <f ca="1"/>
        <v>팀리드</v>
      </c>
      <c r="I89">
        <f ca="1"/>
        <v>45286</v>
      </c>
      <c r="J89">
        <f ca="1"/>
        <v>45286</v>
      </c>
      <c r="K89" t="str">
        <f ca="1"/>
        <v>정규직</v>
      </c>
      <c r="L89" t="str">
        <f ca="1"/>
        <v>사무직</v>
      </c>
      <c r="M89" t="str">
        <f ca="1"/>
        <v>재직</v>
      </c>
      <c r="N89" t="str">
        <f ca="1"/>
        <v>810320-1070313</v>
      </c>
      <c r="O89">
        <f ca="1"/>
        <v>29665</v>
      </c>
      <c r="P89" t="str">
        <f ca="1"/>
        <v>남</v>
      </c>
      <c r="Q89">
        <f ca="1"/>
        <v>45</v>
      </c>
      <c r="R89">
        <f ca="1"/>
        <v>44</v>
      </c>
      <c r="S89" t="str">
        <f ca="1"/>
        <v>010-9878-2002</v>
      </c>
      <c r="T89" t="str">
        <f ca="1"/>
        <v>서울특별시 강동구 성안로155 두산위브센티움 101동 1006호</v>
      </c>
      <c r="U89" t="str">
        <f ca="1"/>
        <v>jskwon@neurophet.com</v>
      </c>
    </row>
    <row r="90" spans="1:21" x14ac:dyDescent="0.3">
      <c r="A90">
        <f ca="1"/>
        <v>89</v>
      </c>
      <c r="B90">
        <f ca="1"/>
        <v>24010201</v>
      </c>
      <c r="C90" t="str">
        <f ca="1"/>
        <v>정진우</v>
      </c>
      <c r="D90" t="str">
        <f ca="1"/>
        <v>대표이사</v>
      </c>
      <c r="E90" t="str">
        <f ca="1"/>
        <v>RA팀</v>
      </c>
      <c r="F90" t="str">
        <f ca="1"/>
        <v>인허가</v>
      </c>
      <c r="G90" t="str">
        <f ca="1"/>
        <v>Member</v>
      </c>
      <c r="H90" t="str">
        <f ca="1"/>
        <v>멤버</v>
      </c>
      <c r="I90">
        <f ca="1"/>
        <v>45293</v>
      </c>
      <c r="J90">
        <f ca="1"/>
        <v>45293</v>
      </c>
      <c r="K90" t="str">
        <f ca="1"/>
        <v>정규직</v>
      </c>
      <c r="L90" t="str">
        <f ca="1"/>
        <v>사무직</v>
      </c>
      <c r="M90" t="str">
        <f ca="1"/>
        <v>재직</v>
      </c>
      <c r="N90" t="str">
        <f ca="1"/>
        <v>940608-1585217</v>
      </c>
      <c r="O90">
        <f ca="1"/>
        <v>34493</v>
      </c>
      <c r="P90" t="str">
        <f ca="1"/>
        <v>남</v>
      </c>
      <c r="Q90">
        <f ca="1"/>
        <v>32</v>
      </c>
      <c r="R90">
        <f ca="1"/>
        <v>30</v>
      </c>
      <c r="S90" t="str">
        <f ca="1"/>
        <v>010-3614-9923</v>
      </c>
      <c r="T90" t="str">
        <f ca="1"/>
        <v>경기도 수원시 팔달구 인계로 94번길 27-18, 412호</v>
      </c>
      <c r="U90" t="str">
        <f ca="1"/>
        <v>jwjeong@neurophet.com</v>
      </c>
    </row>
    <row r="91" spans="1:21" x14ac:dyDescent="0.3">
      <c r="A91">
        <f ca="1"/>
        <v>90</v>
      </c>
      <c r="B91">
        <f ca="1"/>
        <v>24010202</v>
      </c>
      <c r="C91" t="str">
        <f ca="1"/>
        <v>박근호</v>
      </c>
      <c r="D91" t="str">
        <f ca="1"/>
        <v>비즈니스본부</v>
      </c>
      <c r="E91" t="str">
        <f ca="1"/>
        <v>국내세일즈팀</v>
      </c>
      <c r="F91" t="str">
        <f ca="1"/>
        <v>영업</v>
      </c>
      <c r="G91" t="str">
        <f ca="1"/>
        <v>Member</v>
      </c>
      <c r="H91" t="str">
        <f ca="1"/>
        <v>멤버</v>
      </c>
      <c r="I91">
        <f ca="1"/>
        <v>45293</v>
      </c>
      <c r="J91">
        <f ca="1"/>
        <v>45293</v>
      </c>
      <c r="K91" t="str">
        <f ca="1"/>
        <v>정규직</v>
      </c>
      <c r="L91" t="str">
        <f ca="1"/>
        <v>사무직</v>
      </c>
      <c r="M91" t="str">
        <f ca="1"/>
        <v>재직</v>
      </c>
      <c r="N91" t="str">
        <f ca="1"/>
        <v>920506-1209314</v>
      </c>
      <c r="O91">
        <f ca="1"/>
        <v>33730</v>
      </c>
      <c r="P91" t="str">
        <f ca="1"/>
        <v>남</v>
      </c>
      <c r="Q91">
        <f ca="1"/>
        <v>34</v>
      </c>
      <c r="R91">
        <f ca="1"/>
        <v>32</v>
      </c>
      <c r="S91" t="str">
        <f ca="1"/>
        <v>010-4021-0963</v>
      </c>
      <c r="T91" t="str">
        <f ca="1"/>
        <v>경기도 하남시 감이동 503 제일풍경채 105-1204호</v>
      </c>
      <c r="U91" t="str">
        <f ca="1"/>
        <v>keunho.park@neurophet.com</v>
      </c>
    </row>
    <row r="92" spans="1:21" x14ac:dyDescent="0.3">
      <c r="A92">
        <f ca="1"/>
        <v>91</v>
      </c>
      <c r="B92">
        <f ca="1"/>
        <v>24010901</v>
      </c>
      <c r="C92" t="str">
        <f ca="1"/>
        <v>황준동</v>
      </c>
      <c r="D92" t="str">
        <f ca="1"/>
        <v>연구본부</v>
      </c>
      <c r="E92" t="str">
        <f ca="1"/>
        <v>NR1팀</v>
      </c>
      <c r="F92" t="str">
        <f ca="1"/>
        <v>뇌영상연구</v>
      </c>
      <c r="G92" t="str">
        <f ca="1"/>
        <v>Member</v>
      </c>
      <c r="H92" t="str">
        <f ca="1"/>
        <v>멤버</v>
      </c>
      <c r="I92">
        <f ca="1"/>
        <v>45300</v>
      </c>
      <c r="J92">
        <f ca="1"/>
        <v>45300</v>
      </c>
      <c r="K92" t="str">
        <f ca="1"/>
        <v>정규직</v>
      </c>
      <c r="L92" t="str">
        <f ca="1"/>
        <v>연구직</v>
      </c>
      <c r="M92" t="str">
        <f ca="1"/>
        <v>재직</v>
      </c>
      <c r="N92" t="str">
        <f ca="1"/>
        <v>940914-1029513</v>
      </c>
      <c r="O92">
        <f ca="1"/>
        <v>34591</v>
      </c>
      <c r="P92" t="str">
        <f ca="1"/>
        <v>남</v>
      </c>
      <c r="Q92">
        <f ca="1"/>
        <v>32</v>
      </c>
      <c r="R92">
        <f ca="1"/>
        <v>30</v>
      </c>
      <c r="S92" t="str">
        <f ca="1"/>
        <v>010-8221-8991</v>
      </c>
      <c r="T92" t="str">
        <f ca="1"/>
        <v>서울특별시 강북구 미아동 211-33 301호</v>
      </c>
      <c r="U92" t="str">
        <f ca="1"/>
        <v>jd.hwang@neurophet.com</v>
      </c>
    </row>
    <row r="93" spans="1:21" x14ac:dyDescent="0.3">
      <c r="A93">
        <f ca="1"/>
        <v>92</v>
      </c>
      <c r="B93">
        <f ca="1"/>
        <v>24011501</v>
      </c>
      <c r="C93" t="str">
        <f ca="1"/>
        <v>문시현</v>
      </c>
      <c r="D93" t="str">
        <f ca="1"/>
        <v>경영본부</v>
      </c>
      <c r="E93" t="str">
        <f ca="1"/>
        <v>자금팀</v>
      </c>
      <c r="F93" t="str">
        <f ca="1"/>
        <v>자금</v>
      </c>
      <c r="G93" t="str">
        <f ca="1"/>
        <v>Member</v>
      </c>
      <c r="H93" t="str">
        <f ca="1"/>
        <v>멤버</v>
      </c>
      <c r="I93">
        <f ca="1"/>
        <v>45306</v>
      </c>
      <c r="J93">
        <f ca="1"/>
        <v>45306</v>
      </c>
      <c r="K93" t="str">
        <f ca="1"/>
        <v>정규직</v>
      </c>
      <c r="L93" t="str">
        <f ca="1"/>
        <v>사무직</v>
      </c>
      <c r="M93" t="str">
        <f ca="1"/>
        <v>재직</v>
      </c>
      <c r="N93" t="str">
        <f ca="1"/>
        <v>980810-2059322</v>
      </c>
      <c r="O93">
        <f ca="1"/>
        <v>36017</v>
      </c>
      <c r="P93" t="str">
        <f ca="1"/>
        <v>여</v>
      </c>
      <c r="Q93">
        <f ca="1"/>
        <v>28</v>
      </c>
      <c r="R93">
        <f ca="1"/>
        <v>26</v>
      </c>
      <c r="S93" t="str">
        <f ca="1"/>
        <v>010-3763-5717</v>
      </c>
      <c r="T93" t="str">
        <f ca="1"/>
        <v>서울특별시 금천구 금하로24나길 27-26, 202호</v>
      </c>
      <c r="U93" t="str">
        <f ca="1"/>
        <v>mshyun@neurophet.com</v>
      </c>
    </row>
    <row r="94" spans="1:21" x14ac:dyDescent="0.3">
      <c r="A94">
        <f ca="1"/>
        <v>93</v>
      </c>
      <c r="B94">
        <f ca="1"/>
        <v>24011502</v>
      </c>
      <c r="C94" t="str">
        <f ca="1"/>
        <v>박창선</v>
      </c>
      <c r="D94" t="str">
        <f ca="1"/>
        <v>연구본부</v>
      </c>
      <c r="E94" t="str">
        <f ca="1"/>
        <v>AR2팀</v>
      </c>
      <c r="F94" t="str">
        <f ca="1"/>
        <v>AI연구</v>
      </c>
      <c r="G94" t="str">
        <f ca="1"/>
        <v>Member</v>
      </c>
      <c r="H94" t="str">
        <f ca="1"/>
        <v>멤버</v>
      </c>
      <c r="I94">
        <f ca="1"/>
        <v>45306</v>
      </c>
      <c r="J94">
        <f ca="1"/>
        <v>45306</v>
      </c>
      <c r="K94" t="str">
        <f ca="1"/>
        <v>정규직</v>
      </c>
      <c r="L94" t="str">
        <f ca="1"/>
        <v>연구직</v>
      </c>
      <c r="M94" t="str">
        <f ca="1"/>
        <v>재직</v>
      </c>
      <c r="N94" t="str">
        <f ca="1"/>
        <v>990609-1721345</v>
      </c>
      <c r="O94">
        <f ca="1"/>
        <v>36320</v>
      </c>
      <c r="P94" t="str">
        <f ca="1"/>
        <v>남</v>
      </c>
      <c r="Q94">
        <f ca="1"/>
        <v>27</v>
      </c>
      <c r="R94">
        <f ca="1"/>
        <v>25</v>
      </c>
      <c r="S94" t="str">
        <f ca="1"/>
        <v>010-2655-4692</v>
      </c>
      <c r="T94" t="str">
        <f ca="1"/>
        <v>서울특별시 관악구 봉천동 877-29 파크빌오피스텔 304호</v>
      </c>
      <c r="U94" t="str">
        <f ca="1"/>
        <v>changseon@neurophet.com</v>
      </c>
    </row>
    <row r="95" spans="1:21" x14ac:dyDescent="0.3">
      <c r="A95">
        <f ca="1"/>
        <v>94</v>
      </c>
      <c r="B95">
        <f ca="1"/>
        <v>24011503</v>
      </c>
      <c r="C95" t="str">
        <f ca="1"/>
        <v>서충원</v>
      </c>
      <c r="D95" t="str">
        <f ca="1"/>
        <v>비즈니스본부</v>
      </c>
      <c r="E95" t="str">
        <f ca="1"/>
        <v>마케팅팀</v>
      </c>
      <c r="F95" t="str">
        <f ca="1"/>
        <v>마케팅</v>
      </c>
      <c r="G95" t="str">
        <f ca="1"/>
        <v>Member</v>
      </c>
      <c r="H95" t="str">
        <f ca="1"/>
        <v>멤버</v>
      </c>
      <c r="I95">
        <f ca="1"/>
        <v>45306</v>
      </c>
      <c r="J95">
        <f ca="1"/>
        <v>45306</v>
      </c>
      <c r="K95" t="str">
        <f ca="1"/>
        <v>정규직</v>
      </c>
      <c r="L95" t="str">
        <f ca="1"/>
        <v>사무직</v>
      </c>
      <c r="M95" t="str">
        <f ca="1"/>
        <v>재직</v>
      </c>
      <c r="N95" t="str">
        <f ca="1"/>
        <v>000127-3192238</v>
      </c>
      <c r="O95">
        <f ca="1"/>
        <v>36552</v>
      </c>
      <c r="P95" t="str">
        <f ca="1"/>
        <v>남</v>
      </c>
      <c r="Q95">
        <f ca="1"/>
        <v>26</v>
      </c>
      <c r="R95">
        <f ca="1"/>
        <v>25</v>
      </c>
      <c r="S95" t="str">
        <f ca="1"/>
        <v>010-2879-0237</v>
      </c>
      <c r="T95" t="str">
        <f ca="1"/>
        <v>경기도 남양주시 진접읍 해밀예당 1로 2302동 1401호</v>
      </c>
      <c r="U95" t="str">
        <f ca="1"/>
        <v>cwseo@neurophet.com</v>
      </c>
    </row>
    <row r="96" spans="1:21" x14ac:dyDescent="0.3">
      <c r="A96">
        <f ca="1"/>
        <v>95</v>
      </c>
      <c r="B96">
        <f ca="1"/>
        <v>24020101</v>
      </c>
      <c r="C96" t="str">
        <f ca="1"/>
        <v>김진석</v>
      </c>
      <c r="D96" t="str">
        <f ca="1"/>
        <v>프로덕트본부</v>
      </c>
      <c r="E96" t="str">
        <f ca="1"/>
        <v>PM팀</v>
      </c>
      <c r="F96" t="str">
        <f ca="1"/>
        <v>PM</v>
      </c>
      <c r="G96" t="str">
        <f ca="1"/>
        <v>Member</v>
      </c>
      <c r="H96" t="str">
        <f ca="1"/>
        <v>멤버</v>
      </c>
      <c r="I96">
        <f ca="1"/>
        <v>45323</v>
      </c>
      <c r="J96">
        <f ca="1"/>
        <v>45323</v>
      </c>
      <c r="K96" t="str">
        <f ca="1"/>
        <v>정규직</v>
      </c>
      <c r="L96" t="str">
        <f ca="1"/>
        <v>연구직</v>
      </c>
      <c r="M96" t="str">
        <f ca="1"/>
        <v>재직</v>
      </c>
      <c r="N96" t="str">
        <f ca="1"/>
        <v>801030-1113817</v>
      </c>
      <c r="O96">
        <f ca="1"/>
        <v>29524</v>
      </c>
      <c r="P96" t="str">
        <f ca="1"/>
        <v>남</v>
      </c>
      <c r="Q96">
        <f ca="1"/>
        <v>46</v>
      </c>
      <c r="R96">
        <f ca="1"/>
        <v>44</v>
      </c>
      <c r="S96" t="str">
        <f ca="1"/>
        <v>010-8000-1542</v>
      </c>
      <c r="T96" t="str">
        <f ca="1"/>
        <v>서울특별시 강동구 고덕로 97길 29, 911동 202호</v>
      </c>
      <c r="U96" t="str">
        <f ca="1"/>
        <v>nick.kim@neurophet.com</v>
      </c>
    </row>
    <row r="97" spans="1:21" x14ac:dyDescent="0.3">
      <c r="A97">
        <f ca="1"/>
        <v>96</v>
      </c>
      <c r="B97">
        <f ca="1"/>
        <v>24020102</v>
      </c>
      <c r="C97" t="str">
        <f ca="1"/>
        <v>송영지</v>
      </c>
      <c r="D97" t="str">
        <f ca="1"/>
        <v>연구본부</v>
      </c>
      <c r="E97" t="str">
        <f ca="1"/>
        <v>임상팀</v>
      </c>
      <c r="F97" t="str">
        <f ca="1"/>
        <v>임상시험연구</v>
      </c>
      <c r="G97" t="str">
        <f ca="1"/>
        <v>Member</v>
      </c>
      <c r="H97" t="str">
        <f ca="1"/>
        <v>멤버</v>
      </c>
      <c r="I97">
        <f ca="1"/>
        <v>45323</v>
      </c>
      <c r="J97">
        <f ca="1"/>
        <v>45323</v>
      </c>
      <c r="K97" t="str">
        <f ca="1"/>
        <v>정규직</v>
      </c>
      <c r="L97" t="str">
        <f ca="1"/>
        <v>연구직</v>
      </c>
      <c r="M97" t="str">
        <f ca="1"/>
        <v>재직</v>
      </c>
      <c r="N97" t="str">
        <f ca="1"/>
        <v>880428-2233517</v>
      </c>
      <c r="O97">
        <f ca="1"/>
        <v>32261</v>
      </c>
      <c r="P97" t="str">
        <f ca="1"/>
        <v>여</v>
      </c>
      <c r="Q97">
        <f ca="1"/>
        <v>38</v>
      </c>
      <c r="R97">
        <f ca="1"/>
        <v>36</v>
      </c>
      <c r="S97" t="str">
        <f ca="1"/>
        <v>010-4136-6596</v>
      </c>
      <c r="T97" t="str">
        <f ca="1"/>
        <v>서울특별시 양천구 목동중앙남로 16가길 28-10 201호</v>
      </c>
      <c r="U97" t="str">
        <f ca="1"/>
        <v>youngji.song@neurophet.com</v>
      </c>
    </row>
    <row r="98" spans="1:21" x14ac:dyDescent="0.3">
      <c r="A98">
        <f ca="1"/>
        <v>97</v>
      </c>
      <c r="B98">
        <f ca="1"/>
        <v>24020501</v>
      </c>
      <c r="C98" t="str">
        <f ca="1"/>
        <v>김현기</v>
      </c>
      <c r="D98" t="str">
        <f ca="1"/>
        <v>비즈니스본부</v>
      </c>
      <c r="E98" t="str">
        <f ca="1"/>
        <v>국내세일즈팀</v>
      </c>
      <c r="F98" t="str">
        <f ca="1"/>
        <v>영업</v>
      </c>
      <c r="G98" t="str">
        <f ca="1"/>
        <v>Member</v>
      </c>
      <c r="H98" t="str">
        <f ca="1"/>
        <v>멤버</v>
      </c>
      <c r="I98">
        <f ca="1"/>
        <v>45327</v>
      </c>
      <c r="J98">
        <f ca="1"/>
        <v>45327</v>
      </c>
      <c r="K98" t="str">
        <f ca="1"/>
        <v>정규직</v>
      </c>
      <c r="L98" t="str">
        <f ca="1"/>
        <v>사무직</v>
      </c>
      <c r="M98" t="str">
        <f ca="1"/>
        <v>재직</v>
      </c>
      <c r="N98" t="str">
        <f ca="1"/>
        <v>850117-1047212</v>
      </c>
      <c r="O98">
        <f ca="1"/>
        <v>31064</v>
      </c>
      <c r="P98" t="str">
        <f ca="1"/>
        <v>남</v>
      </c>
      <c r="Q98">
        <f ca="1"/>
        <v>41</v>
      </c>
      <c r="R98">
        <f ca="1"/>
        <v>40</v>
      </c>
      <c r="S98" t="str">
        <f ca="1"/>
        <v>010-7152-4011</v>
      </c>
      <c r="T98" t="str">
        <f ca="1"/>
        <v>서울특별시 노원구 동일로 227길 86 주공아파트 1611-804</v>
      </c>
      <c r="U98" t="str">
        <f ca="1"/>
        <v>khk2276@neurophet.com</v>
      </c>
    </row>
    <row r="99" spans="1:21" x14ac:dyDescent="0.3">
      <c r="A99">
        <f ca="1"/>
        <v>98</v>
      </c>
      <c r="B99">
        <f ca="1"/>
        <v>24021301</v>
      </c>
      <c r="C99" t="str">
        <f ca="1"/>
        <v>임현석</v>
      </c>
      <c r="D99" t="str">
        <f ca="1"/>
        <v>연구본부</v>
      </c>
      <c r="E99" t="str">
        <f ca="1"/>
        <v>TechOps팀</v>
      </c>
      <c r="F99" t="str">
        <f ca="1"/>
        <v>레이블링</v>
      </c>
      <c r="G99" t="str">
        <f ca="1"/>
        <v>Member</v>
      </c>
      <c r="H99" t="str">
        <f ca="1"/>
        <v>멤버</v>
      </c>
      <c r="I99">
        <f ca="1"/>
        <v>45335</v>
      </c>
      <c r="J99">
        <f ca="1"/>
        <v>45335</v>
      </c>
      <c r="K99" t="str">
        <f ca="1"/>
        <v>정규직</v>
      </c>
      <c r="L99" t="str">
        <f ca="1"/>
        <v>연구직</v>
      </c>
      <c r="M99" t="str">
        <f ca="1"/>
        <v>재직</v>
      </c>
      <c r="N99" t="str">
        <f ca="1"/>
        <v>961005-1026011</v>
      </c>
      <c r="O99">
        <f ca="1"/>
        <v>35343</v>
      </c>
      <c r="P99" t="str">
        <f ca="1"/>
        <v>남</v>
      </c>
      <c r="Q99">
        <f ca="1"/>
        <v>30</v>
      </c>
      <c r="R99">
        <f ca="1"/>
        <v>28</v>
      </c>
      <c r="S99" t="str">
        <f ca="1"/>
        <v>010-9947-2286</v>
      </c>
      <c r="T99" t="str">
        <f ca="1"/>
        <v>서울특별시 강북구 솔샘로 174, SK북한산시티 145동 203호</v>
      </c>
      <c r="U99" t="str">
        <f ca="1"/>
        <v>hslim@neurophet.com</v>
      </c>
    </row>
    <row r="100" spans="1:21" x14ac:dyDescent="0.3">
      <c r="A100">
        <f ca="1"/>
        <v>99</v>
      </c>
      <c r="B100">
        <f ca="1"/>
        <v>24021302</v>
      </c>
      <c r="C100" t="str">
        <f ca="1"/>
        <v>하지수</v>
      </c>
      <c r="D100" t="str">
        <f ca="1"/>
        <v>대표이사</v>
      </c>
      <c r="E100" t="str">
        <f ca="1"/>
        <v>인사팀</v>
      </c>
      <c r="F100" t="str">
        <f ca="1"/>
        <v>인사</v>
      </c>
      <c r="G100" t="str">
        <f ca="1"/>
        <v>Member</v>
      </c>
      <c r="H100" t="str">
        <f ca="1"/>
        <v>멤버</v>
      </c>
      <c r="I100">
        <f ca="1"/>
        <v>45335</v>
      </c>
      <c r="J100">
        <f ca="1"/>
        <v>45335</v>
      </c>
      <c r="K100" t="str">
        <f ca="1"/>
        <v>정규직</v>
      </c>
      <c r="L100" t="str">
        <f ca="1"/>
        <v>사무직</v>
      </c>
      <c r="M100" t="str">
        <f ca="1"/>
        <v>재직</v>
      </c>
      <c r="N100" t="str">
        <f ca="1"/>
        <v>930809-2032311</v>
      </c>
      <c r="O100">
        <f ca="1"/>
        <v>34190</v>
      </c>
      <c r="P100" t="str">
        <f ca="1"/>
        <v>여</v>
      </c>
      <c r="Q100">
        <f ca="1"/>
        <v>33</v>
      </c>
      <c r="R100">
        <f ca="1"/>
        <v>31</v>
      </c>
      <c r="S100" t="str">
        <f ca="1"/>
        <v>010-8752-6570</v>
      </c>
      <c r="T100" t="str">
        <f ca="1"/>
        <v>경기도 하남시 미사강변대로 270, 703동 902호</v>
      </c>
      <c r="U100" t="str">
        <f ca="1"/>
        <v>jsha@neurophet.com</v>
      </c>
    </row>
    <row r="101" spans="1:21" x14ac:dyDescent="0.3">
      <c r="A101">
        <f ca="1"/>
        <v>100</v>
      </c>
      <c r="B101">
        <f ca="1"/>
        <v>24022001</v>
      </c>
      <c r="C101" t="str">
        <f ca="1"/>
        <v>홍락균</v>
      </c>
      <c r="D101" t="str">
        <f ca="1"/>
        <v>프로덕트본부</v>
      </c>
      <c r="E101" t="str">
        <f ca="1"/>
        <v>PM팀</v>
      </c>
      <c r="F101" t="str">
        <f ca="1"/>
        <v>PM (innk 등)</v>
      </c>
      <c r="G101" t="str">
        <f ca="1"/>
        <v>Member</v>
      </c>
      <c r="H101" t="str">
        <f ca="1"/>
        <v>멤버</v>
      </c>
      <c r="I101">
        <f ca="1"/>
        <v>45342</v>
      </c>
      <c r="J101">
        <f ca="1"/>
        <v>45342</v>
      </c>
      <c r="K101" t="str">
        <f ca="1"/>
        <v>정규직</v>
      </c>
      <c r="L101" t="str">
        <f ca="1"/>
        <v>연구직</v>
      </c>
      <c r="M101" t="str">
        <f ca="1"/>
        <v>재직</v>
      </c>
      <c r="N101" t="str">
        <f ca="1"/>
        <v>880824-1260119</v>
      </c>
      <c r="O101">
        <f ca="1"/>
        <v>32379</v>
      </c>
      <c r="P101" t="str">
        <f ca="1"/>
        <v>남</v>
      </c>
      <c r="Q101">
        <f ca="1"/>
        <v>38</v>
      </c>
      <c r="R101">
        <f ca="1"/>
        <v>36</v>
      </c>
      <c r="S101" t="str">
        <f ca="1"/>
        <v>010-7188-7095</v>
      </c>
      <c r="T101" t="str">
        <f ca="1"/>
        <v>경기도 구리시 경춘로 288번길 39, 원일아파트 바동 309호</v>
      </c>
      <c r="U101" t="str">
        <f ca="1"/>
        <v>rkhong@neurophet.com</v>
      </c>
    </row>
    <row r="102" spans="1:21" x14ac:dyDescent="0.3">
      <c r="A102">
        <f ca="1"/>
        <v>101</v>
      </c>
      <c r="B102">
        <f ca="1"/>
        <v>24022601</v>
      </c>
      <c r="C102" t="str">
        <f ca="1"/>
        <v>김지만</v>
      </c>
      <c r="D102" t="str">
        <f ca="1"/>
        <v>프로덕트본부</v>
      </c>
      <c r="E102" t="str">
        <f ca="1"/>
        <v>UX팀</v>
      </c>
      <c r="F102" t="str">
        <f ca="1"/>
        <v>기획</v>
      </c>
      <c r="G102" t="str">
        <f ca="1"/>
        <v>Member</v>
      </c>
      <c r="H102" t="str">
        <f ca="1"/>
        <v>멤버</v>
      </c>
      <c r="I102">
        <f ca="1"/>
        <v>45348</v>
      </c>
      <c r="J102">
        <f ca="1"/>
        <v>45348</v>
      </c>
      <c r="K102" t="str">
        <f ca="1"/>
        <v>정규직</v>
      </c>
      <c r="L102" t="str">
        <f ca="1"/>
        <v>연구직</v>
      </c>
      <c r="M102" t="str">
        <f ca="1"/>
        <v>재직</v>
      </c>
      <c r="N102" t="str">
        <f ca="1"/>
        <v>801126-1226122</v>
      </c>
      <c r="O102">
        <f ca="1"/>
        <v>29551</v>
      </c>
      <c r="P102" t="str">
        <f ca="1"/>
        <v>남</v>
      </c>
      <c r="Q102">
        <f ca="1"/>
        <v>46</v>
      </c>
      <c r="R102">
        <f ca="1"/>
        <v>44</v>
      </c>
      <c r="S102" t="str">
        <f ca="1"/>
        <v>010-5583-2125</v>
      </c>
      <c r="T102" t="str">
        <f ca="1"/>
        <v>경기도 남양주시 화도읍 녹촌로 87-29, 103동 203호</v>
      </c>
      <c r="U102" t="str">
        <f ca="1"/>
        <v>kimjm@neurophet.com</v>
      </c>
    </row>
    <row r="103" spans="1:21" x14ac:dyDescent="0.3">
      <c r="A103">
        <f ca="1"/>
        <v>102</v>
      </c>
      <c r="B103">
        <f ca="1"/>
        <v>24030401</v>
      </c>
      <c r="C103" t="str">
        <f ca="1"/>
        <v>김기연</v>
      </c>
      <c r="D103" t="str">
        <f ca="1"/>
        <v>연구본부</v>
      </c>
      <c r="E103" t="str">
        <f ca="1"/>
        <v>AR3팀</v>
      </c>
      <c r="F103" t="str">
        <f ca="1"/>
        <v>AI연구</v>
      </c>
      <c r="G103" t="str">
        <f ca="1"/>
        <v>Member</v>
      </c>
      <c r="H103" t="str">
        <f ca="1"/>
        <v>멤버</v>
      </c>
      <c r="I103">
        <f ca="1"/>
        <v>45355</v>
      </c>
      <c r="J103">
        <f ca="1"/>
        <v>45355</v>
      </c>
      <c r="K103" t="str">
        <f ca="1"/>
        <v>정규직</v>
      </c>
      <c r="L103" t="str">
        <f ca="1"/>
        <v>연구직</v>
      </c>
      <c r="M103" t="str">
        <f ca="1"/>
        <v>재직</v>
      </c>
      <c r="N103" t="str">
        <f ca="1"/>
        <v>970921-1010521</v>
      </c>
      <c r="O103">
        <f ca="1"/>
        <v>35694</v>
      </c>
      <c r="P103" t="str">
        <f ca="1"/>
        <v>남</v>
      </c>
      <c r="Q103">
        <f ca="1"/>
        <v>29</v>
      </c>
      <c r="R103">
        <f ca="1"/>
        <v>27</v>
      </c>
      <c r="S103" t="str">
        <f ca="1"/>
        <v>010-9134-8001</v>
      </c>
      <c r="T103" t="str">
        <f ca="1"/>
        <v>강원도 춘천시 교동길 70-7 2층</v>
      </c>
      <c r="U103" t="str">
        <f ca="1"/>
        <v>kgy@neurophet.com</v>
      </c>
    </row>
    <row r="104" spans="1:21" x14ac:dyDescent="0.3">
      <c r="A104">
        <f ca="1"/>
        <v>103</v>
      </c>
      <c r="B104">
        <f ca="1"/>
        <v>24031101</v>
      </c>
      <c r="C104" t="str">
        <f ca="1"/>
        <v>박지은</v>
      </c>
      <c r="D104" t="str">
        <f ca="1"/>
        <v>연구본부</v>
      </c>
      <c r="E104" t="str">
        <f ca="1"/>
        <v>NR1팀</v>
      </c>
      <c r="F104" t="str">
        <f ca="1"/>
        <v>뇌영상분석연구</v>
      </c>
      <c r="G104" t="str">
        <f ca="1"/>
        <v>Member</v>
      </c>
      <c r="H104" t="str">
        <f ca="1"/>
        <v>멤버</v>
      </c>
      <c r="I104">
        <f ca="1"/>
        <v>45362</v>
      </c>
      <c r="J104">
        <f ca="1"/>
        <v>45362</v>
      </c>
      <c r="K104" t="str">
        <f ca="1"/>
        <v>정규직</v>
      </c>
      <c r="L104" t="str">
        <f ca="1"/>
        <v>연구직</v>
      </c>
      <c r="M104" t="str">
        <f ca="1"/>
        <v>재직</v>
      </c>
      <c r="N104" t="str">
        <f ca="1"/>
        <v>981117-2680011</v>
      </c>
      <c r="O104">
        <f ca="1"/>
        <v>36116</v>
      </c>
      <c r="P104" t="str">
        <f ca="1"/>
        <v>여</v>
      </c>
      <c r="Q104">
        <f ca="1"/>
        <v>28</v>
      </c>
      <c r="R104">
        <f ca="1"/>
        <v>26</v>
      </c>
      <c r="S104" t="str">
        <f ca="1"/>
        <v>010-5140-1593</v>
      </c>
      <c r="T104" t="str">
        <f ca="1"/>
        <v>서울특별시 관악구 남부순환로 1961-1 601호</v>
      </c>
      <c r="U104" t="str">
        <f ca="1"/>
        <v>jieunpark@neurophet.com</v>
      </c>
    </row>
    <row r="105" spans="1:21" x14ac:dyDescent="0.3">
      <c r="A105">
        <f ca="1"/>
        <v>104</v>
      </c>
      <c r="B105">
        <f ca="1"/>
        <v>24031901</v>
      </c>
      <c r="C105" t="str">
        <f ca="1"/>
        <v>이광민</v>
      </c>
      <c r="D105" t="str">
        <f ca="1"/>
        <v>경영본부</v>
      </c>
      <c r="E105" t="str">
        <f ca="1"/>
        <v>경영본부</v>
      </c>
      <c r="F105" t="str">
        <f ca="1"/>
        <v>CFO</v>
      </c>
      <c r="G105" t="str">
        <f ca="1"/>
        <v>CFO</v>
      </c>
      <c r="H105" t="str">
        <f ca="1"/>
        <v>C-LEVEL</v>
      </c>
      <c r="I105">
        <f ca="1"/>
        <v>45370</v>
      </c>
      <c r="J105">
        <f ca="1"/>
        <v>45370</v>
      </c>
      <c r="K105" t="str">
        <f ca="1"/>
        <v>정규직</v>
      </c>
      <c r="L105" t="str">
        <f ca="1"/>
        <v>임원</v>
      </c>
      <c r="M105" t="str">
        <f ca="1"/>
        <v>재직</v>
      </c>
      <c r="N105" t="str">
        <f ca="1"/>
        <v>780427-1785816</v>
      </c>
      <c r="O105">
        <f ca="1"/>
        <v>28607</v>
      </c>
      <c r="P105" t="str">
        <f ca="1"/>
        <v>남</v>
      </c>
      <c r="Q105">
        <f ca="1"/>
        <v>48</v>
      </c>
      <c r="R105">
        <f ca="1"/>
        <v>46</v>
      </c>
      <c r="S105" t="str">
        <f ca="1"/>
        <v>010-3885-9619</v>
      </c>
      <c r="T105" t="str">
        <f ca="1"/>
        <v>경기도 성남시 분당구 정자일로248 파크뷰 606동 601호</v>
      </c>
      <c r="U105" t="str">
        <f ca="1"/>
        <v>lkm@neurophet.com</v>
      </c>
    </row>
    <row r="106" spans="1:21" x14ac:dyDescent="0.3">
      <c r="A106">
        <f ca="1"/>
        <v>105</v>
      </c>
      <c r="B106">
        <f ca="1"/>
        <v>24040101</v>
      </c>
      <c r="C106" t="str">
        <f ca="1"/>
        <v>장주영</v>
      </c>
      <c r="D106" t="str">
        <f ca="1"/>
        <v>비즈니스본부</v>
      </c>
      <c r="E106" t="str">
        <f ca="1"/>
        <v>ICL팀</v>
      </c>
      <c r="F106" t="str">
        <f ca="1"/>
        <v>임상PM</v>
      </c>
      <c r="G106" t="str">
        <f ca="1"/>
        <v>Member</v>
      </c>
      <c r="H106" t="str">
        <f ca="1"/>
        <v>멤버</v>
      </c>
      <c r="I106">
        <f ca="1"/>
        <v>45383</v>
      </c>
      <c r="J106">
        <f ca="1"/>
        <v>45383</v>
      </c>
      <c r="K106" t="str">
        <f ca="1"/>
        <v>정규직</v>
      </c>
      <c r="L106" t="str">
        <f ca="1"/>
        <v>사무직</v>
      </c>
      <c r="M106" t="str">
        <f ca="1"/>
        <v>재직</v>
      </c>
      <c r="N106" t="str">
        <f ca="1"/>
        <v>980720-2010617</v>
      </c>
      <c r="O106">
        <f ca="1"/>
        <v>35996</v>
      </c>
      <c r="P106" t="str">
        <f ca="1"/>
        <v>여</v>
      </c>
      <c r="Q106">
        <f ca="1"/>
        <v>28</v>
      </c>
      <c r="R106">
        <f ca="1"/>
        <v>26</v>
      </c>
      <c r="S106" t="str">
        <f ca="1"/>
        <v>010-7120-0393</v>
      </c>
      <c r="T106" t="str">
        <f ca="1"/>
        <v>경기도 남양주시 송산로 307번길 22 푸르지오 5201 동 1502호</v>
      </c>
      <c r="U106" t="str">
        <f ca="1"/>
        <v>juyoung.jang@neurophet.com</v>
      </c>
    </row>
    <row r="107" spans="1:21" x14ac:dyDescent="0.3">
      <c r="A107">
        <f ca="1"/>
        <v>106</v>
      </c>
      <c r="B107">
        <f ca="1"/>
        <v>24040801</v>
      </c>
      <c r="C107" t="str">
        <f ca="1"/>
        <v>인치수</v>
      </c>
      <c r="D107" t="str">
        <f ca="1"/>
        <v>프로덕트본부</v>
      </c>
      <c r="E107" t="str">
        <f ca="1"/>
        <v>Vascular팀</v>
      </c>
      <c r="F107" t="str">
        <f ca="1"/>
        <v>프론트엔드</v>
      </c>
      <c r="G107" t="str">
        <f ca="1"/>
        <v>Member</v>
      </c>
      <c r="H107" t="str">
        <f ca="1"/>
        <v>멤버</v>
      </c>
      <c r="I107">
        <f ca="1"/>
        <v>45390</v>
      </c>
      <c r="J107">
        <f ca="1"/>
        <v>45390</v>
      </c>
      <c r="K107" t="str">
        <f ca="1"/>
        <v>정규직</v>
      </c>
      <c r="L107" t="str">
        <f ca="1"/>
        <v>연구직</v>
      </c>
      <c r="M107" t="str">
        <f ca="1"/>
        <v>재직</v>
      </c>
      <c r="N107" t="str">
        <f ca="1"/>
        <v>880530-1469314</v>
      </c>
      <c r="O107">
        <f ca="1"/>
        <v>32293</v>
      </c>
      <c r="P107" t="str">
        <f ca="1"/>
        <v>남</v>
      </c>
      <c r="Q107">
        <f ca="1"/>
        <v>38</v>
      </c>
      <c r="R107">
        <f ca="1"/>
        <v>36</v>
      </c>
      <c r="S107" t="str">
        <f ca="1"/>
        <v>010-8440-0344</v>
      </c>
      <c r="T107" t="str">
        <f ca="1"/>
        <v>서울특별시 동대문구 답십리로 68길 91 A동 501호</v>
      </c>
      <c r="U107" t="str">
        <f ca="1"/>
        <v>cheesu@neurophet.com</v>
      </c>
    </row>
    <row r="108" spans="1:21" x14ac:dyDescent="0.3">
      <c r="A108">
        <f ca="1"/>
        <v>107</v>
      </c>
      <c r="B108">
        <f ca="1"/>
        <v>24041101</v>
      </c>
      <c r="C108" t="str">
        <f ca="1"/>
        <v>한보람</v>
      </c>
      <c r="D108" t="str">
        <f ca="1"/>
        <v>경영본부</v>
      </c>
      <c r="E108" t="str">
        <f ca="1"/>
        <v>회계팀</v>
      </c>
      <c r="F108" t="str">
        <f ca="1"/>
        <v>Payroll</v>
      </c>
      <c r="G108" t="str">
        <f ca="1"/>
        <v>Member</v>
      </c>
      <c r="H108" t="str">
        <f ca="1"/>
        <v>멤버</v>
      </c>
      <c r="I108">
        <f ca="1"/>
        <v>45393</v>
      </c>
      <c r="J108">
        <f ca="1"/>
        <v>45393</v>
      </c>
      <c r="K108" t="str">
        <f ca="1"/>
        <v>정규직</v>
      </c>
      <c r="L108" t="str">
        <f ca="1"/>
        <v>사무직</v>
      </c>
      <c r="M108" t="str">
        <f ca="1"/>
        <v>재직</v>
      </c>
      <c r="N108" t="str">
        <f ca="1"/>
        <v>930202-2011331</v>
      </c>
      <c r="O108">
        <f ca="1"/>
        <v>34002</v>
      </c>
      <c r="P108" t="str">
        <f ca="1"/>
        <v>여</v>
      </c>
      <c r="Q108">
        <f ca="1"/>
        <v>33</v>
      </c>
      <c r="R108">
        <f ca="1"/>
        <v>32</v>
      </c>
      <c r="S108" t="str">
        <f ca="1"/>
        <v>010-9987-0898</v>
      </c>
      <c r="T108" t="str">
        <f ca="1"/>
        <v>서울특별시 관악구 남현동 1064-26 (CS타운(A동)) 401호</v>
      </c>
      <c r="U108" t="str">
        <f ca="1"/>
        <v>brhan@neurophet.com</v>
      </c>
    </row>
    <row r="109" spans="1:21" x14ac:dyDescent="0.3">
      <c r="A109">
        <f ca="1"/>
        <v>108</v>
      </c>
      <c r="B109">
        <f ca="1"/>
        <v>24050701</v>
      </c>
      <c r="C109" t="str">
        <f ca="1"/>
        <v>이서경</v>
      </c>
      <c r="D109" t="str">
        <f ca="1"/>
        <v>프로덕트본부</v>
      </c>
      <c r="E109" t="str">
        <f ca="1"/>
        <v>PET팀</v>
      </c>
      <c r="F109" t="str">
        <f ca="1"/>
        <v>백엔드개발</v>
      </c>
      <c r="G109" t="str">
        <f ca="1"/>
        <v>Member</v>
      </c>
      <c r="H109" t="str">
        <f ca="1"/>
        <v>멤버</v>
      </c>
      <c r="I109">
        <f ca="1"/>
        <v>45419</v>
      </c>
      <c r="J109">
        <f ca="1"/>
        <v>45419</v>
      </c>
      <c r="K109" t="str">
        <f ca="1"/>
        <v>정규직</v>
      </c>
      <c r="L109" t="str">
        <f ca="1"/>
        <v>연구직</v>
      </c>
      <c r="M109" t="str">
        <f ca="1"/>
        <v>재직</v>
      </c>
      <c r="N109" t="str">
        <f ca="1"/>
        <v>911029-2051211</v>
      </c>
      <c r="O109">
        <f ca="1"/>
        <v>33540</v>
      </c>
      <c r="P109" t="str">
        <f ca="1"/>
        <v>여</v>
      </c>
      <c r="Q109">
        <f ca="1"/>
        <v>35</v>
      </c>
      <c r="R109">
        <f ca="1"/>
        <v>33</v>
      </c>
      <c r="S109" t="str">
        <f ca="1"/>
        <v>010-8764-1503</v>
      </c>
      <c r="T109" t="str">
        <f ca="1"/>
        <v>서울특별시 도봉구 도봉로109길 35, 3층</v>
      </c>
      <c r="U109" t="str">
        <f ca="1"/>
        <v>sklee@neurophet.com</v>
      </c>
    </row>
    <row r="110" spans="1:21" x14ac:dyDescent="0.3">
      <c r="A110">
        <f ca="1"/>
        <v>109</v>
      </c>
      <c r="B110">
        <f ca="1"/>
        <v>24051301</v>
      </c>
      <c r="C110" t="str">
        <f ca="1"/>
        <v>이윤기</v>
      </c>
      <c r="D110" t="str">
        <f ca="1"/>
        <v>경영본부</v>
      </c>
      <c r="E110" t="str">
        <f ca="1"/>
        <v>IR/PR실</v>
      </c>
      <c r="F110" t="str">
        <f ca="1"/>
        <v>IR</v>
      </c>
      <c r="G110" t="str">
        <f ca="1"/>
        <v>Director</v>
      </c>
      <c r="H110" t="str">
        <f ca="1"/>
        <v>실리드</v>
      </c>
      <c r="I110">
        <f ca="1"/>
        <v>45425</v>
      </c>
      <c r="J110">
        <f ca="1"/>
        <v>45425</v>
      </c>
      <c r="K110" t="str">
        <f ca="1"/>
        <v>정규직</v>
      </c>
      <c r="L110" t="str">
        <f ca="1"/>
        <v>사무직</v>
      </c>
      <c r="M110" t="str">
        <f ca="1"/>
        <v>재직</v>
      </c>
      <c r="N110" t="str">
        <f ca="1"/>
        <v>840829-1041810</v>
      </c>
      <c r="O110">
        <f ca="1"/>
        <v>30923</v>
      </c>
      <c r="P110" t="str">
        <f ca="1"/>
        <v>남</v>
      </c>
      <c r="Q110">
        <f ca="1"/>
        <v>42</v>
      </c>
      <c r="R110">
        <f ca="1"/>
        <v>40</v>
      </c>
      <c r="S110" t="str">
        <f ca="1"/>
        <v>010-8533-0976</v>
      </c>
      <c r="T110" t="str">
        <f ca="1"/>
        <v>서울특별시 강남구 테헤란로 52길 16 테헤란아이파크 103동 1401호</v>
      </c>
      <c r="U110" t="str">
        <f ca="1"/>
        <v>yk.lee@neurophet.com</v>
      </c>
    </row>
    <row r="111" spans="1:21" x14ac:dyDescent="0.3">
      <c r="A111">
        <f ca="1"/>
        <v>110</v>
      </c>
      <c r="B111">
        <f ca="1"/>
        <v>24052001</v>
      </c>
      <c r="C111" t="str">
        <f ca="1"/>
        <v>이원</v>
      </c>
      <c r="D111" t="str">
        <f ca="1"/>
        <v>연구본부</v>
      </c>
      <c r="E111" t="str">
        <f ca="1"/>
        <v>TechOps팀</v>
      </c>
      <c r="F111" t="str">
        <f ca="1"/>
        <v>데이터</v>
      </c>
      <c r="G111" t="str">
        <f ca="1"/>
        <v>Member</v>
      </c>
      <c r="H111" t="str">
        <f ca="1"/>
        <v>멤버</v>
      </c>
      <c r="I111">
        <f ca="1"/>
        <v>45432</v>
      </c>
      <c r="J111">
        <f ca="1"/>
        <v>45432</v>
      </c>
      <c r="K111" t="str">
        <f ca="1"/>
        <v>정규직</v>
      </c>
      <c r="L111" t="str">
        <f ca="1"/>
        <v>연구직</v>
      </c>
      <c r="M111" t="str">
        <f ca="1"/>
        <v>재직</v>
      </c>
      <c r="N111" t="str">
        <f ca="1"/>
        <v>930917-1155012</v>
      </c>
      <c r="O111">
        <f ca="1"/>
        <v>34229</v>
      </c>
      <c r="P111" t="str">
        <f ca="1"/>
        <v>남</v>
      </c>
      <c r="Q111">
        <f ca="1"/>
        <v>33</v>
      </c>
      <c r="R111">
        <f ca="1"/>
        <v>31</v>
      </c>
      <c r="S111" t="str">
        <f ca="1"/>
        <v>010-3515-2782</v>
      </c>
      <c r="T111" t="str">
        <f ca="1"/>
        <v>경기도 화성시 동탄순환대로 22길 14 1222동 1601호</v>
      </c>
      <c r="U111" t="str">
        <f ca="1"/>
        <v>wonlee@neurophet.com</v>
      </c>
    </row>
    <row r="112" spans="1:21" x14ac:dyDescent="0.3">
      <c r="A112">
        <f ca="1"/>
        <v>111</v>
      </c>
      <c r="B112">
        <f ca="1"/>
        <v>24052701</v>
      </c>
      <c r="C112" t="str">
        <f ca="1"/>
        <v>지효진</v>
      </c>
      <c r="D112" t="str">
        <f ca="1"/>
        <v>대표이사</v>
      </c>
      <c r="E112" t="str">
        <f ca="1"/>
        <v>QA팀</v>
      </c>
      <c r="F112" t="str">
        <f ca="1"/>
        <v>임상QA</v>
      </c>
      <c r="G112" t="str">
        <f ca="1"/>
        <v>Member</v>
      </c>
      <c r="H112" t="str">
        <f ca="1"/>
        <v>멤버</v>
      </c>
      <c r="I112">
        <f ca="1"/>
        <v>45439</v>
      </c>
      <c r="J112">
        <f ca="1"/>
        <v>45439</v>
      </c>
      <c r="K112" t="str">
        <f ca="1"/>
        <v>정규직</v>
      </c>
      <c r="L112" t="str">
        <f ca="1"/>
        <v>사무직</v>
      </c>
      <c r="M112" t="str">
        <f ca="1"/>
        <v>재직</v>
      </c>
      <c r="N112" t="str">
        <f ca="1"/>
        <v>970812-2017721</v>
      </c>
      <c r="O112">
        <f ca="1"/>
        <v>35654</v>
      </c>
      <c r="P112" t="str">
        <f ca="1"/>
        <v>여</v>
      </c>
      <c r="Q112">
        <f ca="1"/>
        <v>29</v>
      </c>
      <c r="R112">
        <f ca="1"/>
        <v>27</v>
      </c>
      <c r="S112" t="str">
        <f ca="1"/>
        <v>010-3378-3596</v>
      </c>
      <c r="T112" t="str">
        <f ca="1"/>
        <v>서울특별시 강동구 고덕로 360 고덕아르테온 322동 803호</v>
      </c>
      <c r="U112" t="str">
        <f ca="1"/>
        <v>hyojin.jee@neurophet.com</v>
      </c>
    </row>
    <row r="113" spans="1:21" x14ac:dyDescent="0.3">
      <c r="A113">
        <f ca="1"/>
        <v>112</v>
      </c>
      <c r="B113">
        <f ca="1"/>
        <v>24060301</v>
      </c>
      <c r="C113" t="str">
        <f ca="1"/>
        <v>유현재</v>
      </c>
      <c r="D113" t="str">
        <f ca="1"/>
        <v>연구본부</v>
      </c>
      <c r="E113" t="str">
        <f ca="1"/>
        <v>통계팀</v>
      </c>
      <c r="F113" t="str">
        <f ca="1"/>
        <v>뇌공학연구</v>
      </c>
      <c r="G113" t="str">
        <f ca="1"/>
        <v>Member</v>
      </c>
      <c r="H113" t="str">
        <f ca="1"/>
        <v>멤버</v>
      </c>
      <c r="I113">
        <f ca="1"/>
        <v>45446</v>
      </c>
      <c r="J113">
        <f ca="1"/>
        <v>45446</v>
      </c>
      <c r="K113" t="str">
        <f ca="1"/>
        <v>정규직</v>
      </c>
      <c r="L113" t="str">
        <f ca="1"/>
        <v>연구직</v>
      </c>
      <c r="M113" t="str">
        <f ca="1"/>
        <v>재직</v>
      </c>
      <c r="N113" t="str">
        <f ca="1"/>
        <v>930505-1318924</v>
      </c>
      <c r="O113">
        <f ca="1"/>
        <v>34094</v>
      </c>
      <c r="P113" t="str">
        <f ca="1"/>
        <v>남</v>
      </c>
      <c r="Q113">
        <f ca="1"/>
        <v>33</v>
      </c>
      <c r="R113">
        <f ca="1"/>
        <v>31</v>
      </c>
      <c r="S113" t="str">
        <f ca="1"/>
        <v>010-9111-3618</v>
      </c>
      <c r="T113" t="str">
        <f ca="1"/>
        <v>강원특별자치도 춘천시 교동길 57-12, 201호 (교동, 힐하우스)</v>
      </c>
      <c r="U113" t="str">
        <f ca="1"/>
        <v>yhj93@neurophet.com</v>
      </c>
    </row>
    <row r="114" spans="1:21" x14ac:dyDescent="0.3">
      <c r="A114">
        <f ca="1"/>
        <v>113</v>
      </c>
      <c r="B114">
        <f ca="1"/>
        <v>24061001</v>
      </c>
      <c r="C114" t="str">
        <f ca="1"/>
        <v>조진희</v>
      </c>
      <c r="D114" t="str">
        <f ca="1"/>
        <v>프로덕트본부</v>
      </c>
      <c r="E114" t="str">
        <f ca="1"/>
        <v>SE팀</v>
      </c>
      <c r="F114" t="str">
        <f ca="1"/>
        <v>기술지원</v>
      </c>
      <c r="G114" t="str">
        <f ca="1"/>
        <v>Member</v>
      </c>
      <c r="H114" t="str">
        <f ca="1"/>
        <v>멤버</v>
      </c>
      <c r="I114">
        <f ca="1"/>
        <v>45453</v>
      </c>
      <c r="J114">
        <f ca="1"/>
        <v>45453</v>
      </c>
      <c r="K114" t="str">
        <f ca="1"/>
        <v>정규직</v>
      </c>
      <c r="L114" t="str">
        <f ca="1"/>
        <v>연구직</v>
      </c>
      <c r="M114" t="str">
        <f ca="1"/>
        <v>재직</v>
      </c>
      <c r="N114" t="str">
        <f ca="1"/>
        <v>870428-2696817</v>
      </c>
      <c r="O114">
        <f ca="1"/>
        <v>31895</v>
      </c>
      <c r="P114" t="str">
        <f ca="1"/>
        <v>여</v>
      </c>
      <c r="Q114">
        <f ca="1"/>
        <v>39</v>
      </c>
      <c r="R114">
        <f ca="1"/>
        <v>37</v>
      </c>
      <c r="S114" t="str">
        <f ca="1"/>
        <v>010-5640-9869</v>
      </c>
      <c r="T114" t="str">
        <f ca="1"/>
        <v>경기도 시흥시 거북섬남로11 101동 2502호</v>
      </c>
      <c r="U114" t="str">
        <f ca="1"/>
        <v>jhjo@neurophet.com</v>
      </c>
    </row>
    <row r="115" spans="1:21" x14ac:dyDescent="0.3">
      <c r="A115">
        <f ca="1"/>
        <v>114</v>
      </c>
      <c r="B115">
        <f ca="1"/>
        <v>24061701</v>
      </c>
      <c r="C115" t="str">
        <f ca="1"/>
        <v>하신영</v>
      </c>
      <c r="D115" t="str">
        <f ca="1"/>
        <v>프로덕트본부</v>
      </c>
      <c r="E115" t="str">
        <f ca="1"/>
        <v>AQUA팀</v>
      </c>
      <c r="F115" t="str">
        <f ca="1"/>
        <v>프론트엔드</v>
      </c>
      <c r="G115" t="str">
        <f ca="1"/>
        <v>Member</v>
      </c>
      <c r="H115" t="str">
        <f ca="1"/>
        <v>멤버</v>
      </c>
      <c r="I115">
        <f ca="1"/>
        <v>45460</v>
      </c>
      <c r="J115">
        <f ca="1"/>
        <v>45460</v>
      </c>
      <c r="K115" t="str">
        <f ca="1"/>
        <v>정규직</v>
      </c>
      <c r="L115" t="str">
        <f ca="1"/>
        <v>연구직</v>
      </c>
      <c r="M115" t="str">
        <f ca="1"/>
        <v>재직</v>
      </c>
      <c r="N115" t="str">
        <f ca="1"/>
        <v>920228-2214212</v>
      </c>
      <c r="O115">
        <f ca="1"/>
        <v>33662</v>
      </c>
      <c r="P115" t="str">
        <f ca="1"/>
        <v>여</v>
      </c>
      <c r="Q115">
        <f ca="1"/>
        <v>34</v>
      </c>
      <c r="R115">
        <f ca="1"/>
        <v>33</v>
      </c>
      <c r="S115" t="str">
        <f ca="1"/>
        <v>010-7107-4536</v>
      </c>
      <c r="T115" t="str">
        <f ca="1"/>
        <v>경기도 수원시 영통구 센트럴타운로76 6112동 1404호</v>
      </c>
      <c r="U115" t="str">
        <f ca="1"/>
        <v>sy.ha@neurophet.com</v>
      </c>
    </row>
    <row r="116" spans="1:21" x14ac:dyDescent="0.3">
      <c r="A116">
        <f ca="1"/>
        <v>115</v>
      </c>
      <c r="B116">
        <f ca="1"/>
        <v>24061702</v>
      </c>
      <c r="C116" t="str">
        <f ca="1"/>
        <v>박현규</v>
      </c>
      <c r="D116" t="str">
        <f ca="1"/>
        <v>연구본부</v>
      </c>
      <c r="E116" t="str">
        <f ca="1"/>
        <v>NR2팀</v>
      </c>
      <c r="F116" t="str">
        <f ca="1"/>
        <v>뇌영상분석연구</v>
      </c>
      <c r="G116" t="str">
        <f ca="1"/>
        <v>Lead</v>
      </c>
      <c r="H116" t="str">
        <f ca="1"/>
        <v>팀리드</v>
      </c>
      <c r="I116">
        <f ca="1"/>
        <v>45460</v>
      </c>
      <c r="J116">
        <f ca="1"/>
        <v>45460</v>
      </c>
      <c r="K116" t="str">
        <f ca="1"/>
        <v>정규직</v>
      </c>
      <c r="L116" t="str">
        <f ca="1"/>
        <v>연구직</v>
      </c>
      <c r="M116" t="str">
        <f ca="1"/>
        <v>재직</v>
      </c>
      <c r="N116" t="str">
        <f ca="1"/>
        <v>930105-1018217</v>
      </c>
      <c r="O116">
        <f ca="1"/>
        <v>33974</v>
      </c>
      <c r="P116" t="str">
        <f ca="1"/>
        <v>남</v>
      </c>
      <c r="Q116">
        <f ca="1"/>
        <v>33</v>
      </c>
      <c r="R116">
        <f ca="1"/>
        <v>32</v>
      </c>
      <c r="S116" t="str">
        <f ca="1"/>
        <v>010-8798-2389</v>
      </c>
      <c r="T116" t="str">
        <f ca="1"/>
        <v>서울특별시 강남구 강남대로162길 27-32 4층</v>
      </c>
      <c r="U116" t="str">
        <f ca="1"/>
        <v>hyungyou.park@neurophet.com</v>
      </c>
    </row>
    <row r="117" spans="1:21" x14ac:dyDescent="0.3">
      <c r="A117">
        <f ca="1"/>
        <v>116</v>
      </c>
      <c r="B117">
        <f ca="1"/>
        <v>24062401</v>
      </c>
      <c r="C117" t="str">
        <f ca="1"/>
        <v>이동근</v>
      </c>
      <c r="D117" t="str">
        <f ca="1"/>
        <v>연구본부</v>
      </c>
      <c r="E117" t="str">
        <f ca="1"/>
        <v>임상팀</v>
      </c>
      <c r="F117" t="str">
        <f ca="1"/>
        <v>CRA</v>
      </c>
      <c r="G117" t="str">
        <f ca="1"/>
        <v>Member</v>
      </c>
      <c r="H117" t="str">
        <f ca="1"/>
        <v>멤버</v>
      </c>
      <c r="I117">
        <f ca="1"/>
        <v>45467</v>
      </c>
      <c r="J117">
        <f ca="1"/>
        <v>45467</v>
      </c>
      <c r="K117" t="str">
        <f ca="1"/>
        <v>정규직</v>
      </c>
      <c r="L117" t="str">
        <f ca="1"/>
        <v>연구직</v>
      </c>
      <c r="M117" t="str">
        <f ca="1"/>
        <v>재직</v>
      </c>
      <c r="N117" t="str">
        <f ca="1"/>
        <v>971125-1047411</v>
      </c>
      <c r="O117">
        <f ca="1"/>
        <v>35759</v>
      </c>
      <c r="P117" t="str">
        <f ca="1"/>
        <v>남</v>
      </c>
      <c r="Q117">
        <f ca="1"/>
        <v>29</v>
      </c>
      <c r="R117">
        <f ca="1"/>
        <v>27</v>
      </c>
      <c r="S117" t="str">
        <f ca="1"/>
        <v>010-6263-1125</v>
      </c>
      <c r="T117" t="str">
        <f ca="1"/>
        <v>서울특별시 관약구 남부순환로 241길 41 202호</v>
      </c>
      <c r="U117" t="str">
        <f ca="1"/>
        <v>dklee@neurophet.com</v>
      </c>
    </row>
    <row r="118" spans="1:21" x14ac:dyDescent="0.3">
      <c r="A118">
        <f ca="1"/>
        <v>117</v>
      </c>
      <c r="B118">
        <f ca="1"/>
        <v>24070101</v>
      </c>
      <c r="C118" t="str">
        <f ca="1"/>
        <v>황수영</v>
      </c>
      <c r="D118" t="str">
        <f ca="1"/>
        <v>연구본부</v>
      </c>
      <c r="E118" t="str">
        <f ca="1"/>
        <v>임상팀</v>
      </c>
      <c r="F118" t="str">
        <f ca="1"/>
        <v>Medical Writer</v>
      </c>
      <c r="G118" t="str">
        <f ca="1"/>
        <v>Member</v>
      </c>
      <c r="H118" t="str">
        <f ca="1"/>
        <v>멤버</v>
      </c>
      <c r="I118">
        <f ca="1"/>
        <v>45474</v>
      </c>
      <c r="J118">
        <f ca="1"/>
        <v>45474</v>
      </c>
      <c r="K118" t="str">
        <f ca="1"/>
        <v>정규직</v>
      </c>
      <c r="L118" t="str">
        <f ca="1"/>
        <v>연구직</v>
      </c>
      <c r="M118" t="str">
        <f ca="1"/>
        <v>재직</v>
      </c>
      <c r="N118" t="str">
        <f ca="1"/>
        <v>930504-2690312</v>
      </c>
      <c r="O118">
        <f ca="1"/>
        <v>34093</v>
      </c>
      <c r="P118" t="str">
        <f ca="1"/>
        <v>여</v>
      </c>
      <c r="Q118">
        <f ca="1"/>
        <v>33</v>
      </c>
      <c r="R118">
        <f ca="1"/>
        <v>31</v>
      </c>
      <c r="S118" t="str">
        <f ca="1"/>
        <v>010-9253-4090</v>
      </c>
      <c r="T118" t="str">
        <f ca="1"/>
        <v>서울특별시 강남구 압구정로 113 27동 601호</v>
      </c>
      <c r="U118" t="str">
        <f ca="1"/>
        <v>sywhang@neurophet.com</v>
      </c>
    </row>
    <row r="119" spans="1:21" x14ac:dyDescent="0.3">
      <c r="A119">
        <f ca="1"/>
        <v>118</v>
      </c>
      <c r="B119">
        <f ca="1"/>
        <v>24071001</v>
      </c>
      <c r="C119" t="str">
        <f ca="1"/>
        <v>배승훈</v>
      </c>
      <c r="D119" t="str">
        <f ca="1"/>
        <v>연구본부</v>
      </c>
      <c r="E119" t="str">
        <f ca="1"/>
        <v>임상팀</v>
      </c>
      <c r="F119" t="str">
        <f ca="1"/>
        <v>Medical Writer</v>
      </c>
      <c r="G119" t="str">
        <f ca="1"/>
        <v>Member</v>
      </c>
      <c r="H119" t="str">
        <f ca="1"/>
        <v>멤버</v>
      </c>
      <c r="I119">
        <f ca="1"/>
        <v>45483</v>
      </c>
      <c r="J119">
        <f ca="1"/>
        <v>45483</v>
      </c>
      <c r="K119" t="str">
        <f ca="1"/>
        <v>정규직</v>
      </c>
      <c r="L119" t="str">
        <f ca="1"/>
        <v>연구직</v>
      </c>
      <c r="M119" t="str">
        <f ca="1"/>
        <v>재직</v>
      </c>
      <c r="N119" t="str">
        <f ca="1"/>
        <v>931204-5100170</v>
      </c>
      <c r="O119">
        <f ca="1"/>
        <v>34307</v>
      </c>
      <c r="P119" t="str">
        <f ca="1"/>
        <v>남</v>
      </c>
      <c r="Q119">
        <f ca="1"/>
        <v>33</v>
      </c>
      <c r="R119">
        <f ca="1"/>
        <v>31</v>
      </c>
      <c r="S119" t="str">
        <f ca="1"/>
        <v>010-3209-6117</v>
      </c>
      <c r="T119" t="str">
        <f ca="1"/>
        <v>서울특별시 영등포구 국회대로 597 104-1102</v>
      </c>
      <c r="U119" t="str">
        <f ca="1"/>
        <v>shbae@neurophet.com</v>
      </c>
    </row>
    <row r="120" spans="1:21" x14ac:dyDescent="0.3">
      <c r="A120">
        <f ca="1"/>
        <v>119</v>
      </c>
      <c r="B120">
        <f ca="1"/>
        <v>24071501</v>
      </c>
      <c r="C120" t="str">
        <f ca="1"/>
        <v>이은경</v>
      </c>
      <c r="D120" t="str">
        <f ca="1"/>
        <v>연구본부</v>
      </c>
      <c r="E120" t="str">
        <f ca="1"/>
        <v>뇌자극팀</v>
      </c>
      <c r="F120" t="str">
        <f ca="1"/>
        <v>의공학연구</v>
      </c>
      <c r="G120" t="str">
        <f ca="1"/>
        <v>Member</v>
      </c>
      <c r="H120" t="str">
        <f ca="1"/>
        <v>멤버</v>
      </c>
      <c r="I120">
        <f ca="1"/>
        <v>45488</v>
      </c>
      <c r="J120">
        <f ca="1"/>
        <v>45488</v>
      </c>
      <c r="K120" t="str">
        <f ca="1"/>
        <v>정규직</v>
      </c>
      <c r="L120" t="str">
        <f ca="1"/>
        <v>연구직</v>
      </c>
      <c r="M120" t="str">
        <f ca="1"/>
        <v>재직</v>
      </c>
      <c r="N120" t="str">
        <f ca="1"/>
        <v>990311-2209217</v>
      </c>
      <c r="O120">
        <f ca="1"/>
        <v>36230</v>
      </c>
      <c r="P120" t="str">
        <f ca="1"/>
        <v>여</v>
      </c>
      <c r="Q120">
        <f ca="1"/>
        <v>27</v>
      </c>
      <c r="R120">
        <f ca="1"/>
        <v>26</v>
      </c>
      <c r="S120" t="str">
        <f ca="1"/>
        <v>010-6426-1526</v>
      </c>
      <c r="T120" t="str">
        <f ca="1"/>
        <v>서울특별시 성북구 화랑로48길 16(두산아파트), 122동 1703호</v>
      </c>
      <c r="U120" t="str">
        <f ca="1"/>
        <v>yeg0311@neurophet.com</v>
      </c>
    </row>
    <row r="121" spans="1:21" x14ac:dyDescent="0.3">
      <c r="A121">
        <f ca="1"/>
        <v>120</v>
      </c>
      <c r="B121">
        <f ca="1"/>
        <v>24071502</v>
      </c>
      <c r="C121" t="str">
        <f ca="1"/>
        <v>이정연</v>
      </c>
      <c r="D121" t="str">
        <f ca="1"/>
        <v>비즈니스본부</v>
      </c>
      <c r="E121" t="str">
        <f ca="1"/>
        <v>사업개발팀</v>
      </c>
      <c r="F121" t="str">
        <f ca="1"/>
        <v>BD</v>
      </c>
      <c r="G121" t="str">
        <f ca="1"/>
        <v>Director</v>
      </c>
      <c r="H121" t="str">
        <f ca="1"/>
        <v>팀리드</v>
      </c>
      <c r="I121">
        <f ca="1"/>
        <v>45488</v>
      </c>
      <c r="J121">
        <f ca="1"/>
        <v>45488</v>
      </c>
      <c r="K121" t="str">
        <f ca="1"/>
        <v>정규직</v>
      </c>
      <c r="L121" t="str">
        <f ca="1"/>
        <v>사무직</v>
      </c>
      <c r="M121" t="str">
        <f ca="1"/>
        <v>재직</v>
      </c>
      <c r="N121" t="str">
        <f ca="1"/>
        <v>770117-2037437</v>
      </c>
      <c r="O121">
        <f ca="1"/>
        <v>28190</v>
      </c>
      <c r="P121" t="str">
        <f ca="1"/>
        <v>여</v>
      </c>
      <c r="Q121">
        <f ca="1"/>
        <v>49</v>
      </c>
      <c r="R121">
        <f ca="1"/>
        <v>48</v>
      </c>
      <c r="S121" t="str">
        <f ca="1"/>
        <v>010-2691-1281</v>
      </c>
      <c r="T121" t="str">
        <f ca="1"/>
        <v>서울특별시 서초구 방배로 26길, 42  303호</v>
      </c>
      <c r="U121" t="str">
        <f ca="1"/>
        <v>alice@neurophet.com</v>
      </c>
    </row>
    <row r="122" spans="1:21" x14ac:dyDescent="0.3">
      <c r="A122">
        <f ca="1"/>
        <v>121</v>
      </c>
      <c r="B122">
        <f ca="1"/>
        <v>24071503</v>
      </c>
      <c r="C122" t="str">
        <f ca="1"/>
        <v>문창훈</v>
      </c>
      <c r="D122" t="str">
        <f ca="1"/>
        <v>비즈니스본부</v>
      </c>
      <c r="E122" t="str">
        <f ca="1"/>
        <v>국내세일즈팀</v>
      </c>
      <c r="F122" t="str">
        <f ca="1"/>
        <v>영업</v>
      </c>
      <c r="G122" t="str">
        <f ca="1"/>
        <v>Member</v>
      </c>
      <c r="H122" t="str">
        <f ca="1"/>
        <v>멤버</v>
      </c>
      <c r="I122">
        <f ca="1"/>
        <v>45488</v>
      </c>
      <c r="J122">
        <f ca="1"/>
        <v>45488</v>
      </c>
      <c r="K122" t="str">
        <f ca="1"/>
        <v>정규직</v>
      </c>
      <c r="L122" t="str">
        <f ca="1"/>
        <v>사무직</v>
      </c>
      <c r="M122" t="str">
        <f ca="1"/>
        <v>재직</v>
      </c>
      <c r="N122" t="str">
        <f ca="1"/>
        <v>950524-1074411</v>
      </c>
      <c r="O122">
        <f ca="1"/>
        <v>34843</v>
      </c>
      <c r="P122" t="str">
        <f ca="1"/>
        <v>남</v>
      </c>
      <c r="Q122">
        <f ca="1"/>
        <v>31</v>
      </c>
      <c r="R122">
        <f ca="1"/>
        <v>29</v>
      </c>
      <c r="S122" t="str">
        <f ca="1"/>
        <v>010-9029-5525</v>
      </c>
      <c r="T122" t="str">
        <f ca="1"/>
        <v>경기도 안양시 동안구 임곡로43 더 포레스트힐 아파트 109동 2004호</v>
      </c>
      <c r="U122" t="str">
        <f ca="1"/>
        <v>changhoon.moon@neurophet.com</v>
      </c>
    </row>
    <row r="123" spans="1:21" x14ac:dyDescent="0.3">
      <c r="A123">
        <f ca="1"/>
        <v>122</v>
      </c>
      <c r="B123">
        <f ca="1"/>
        <v>24072201</v>
      </c>
      <c r="C123" t="str">
        <f ca="1"/>
        <v>김정한</v>
      </c>
      <c r="D123" t="str">
        <f ca="1"/>
        <v>비즈니스본부</v>
      </c>
      <c r="E123" t="str">
        <f ca="1"/>
        <v>해외세일즈팀</v>
      </c>
      <c r="F123" t="str">
        <f ca="1"/>
        <v>해외영업</v>
      </c>
      <c r="G123" t="str">
        <f ca="1"/>
        <v>Director</v>
      </c>
      <c r="H123" t="str">
        <f ca="1"/>
        <v>팀리드</v>
      </c>
      <c r="I123">
        <f ca="1"/>
        <v>45495</v>
      </c>
      <c r="J123">
        <f ca="1"/>
        <v>45495</v>
      </c>
      <c r="K123" t="str">
        <f ca="1"/>
        <v>정규직</v>
      </c>
      <c r="L123" t="str">
        <f ca="1"/>
        <v>사무직</v>
      </c>
      <c r="M123" t="str">
        <f ca="1"/>
        <v>재직</v>
      </c>
      <c r="N123" t="str">
        <f ca="1"/>
        <v>750722-1702612</v>
      </c>
      <c r="O123">
        <f ca="1"/>
        <v>27597</v>
      </c>
      <c r="P123" t="str">
        <f ca="1"/>
        <v>남</v>
      </c>
      <c r="Q123">
        <f ca="1"/>
        <v>51</v>
      </c>
      <c r="R123">
        <f ca="1"/>
        <v>49</v>
      </c>
      <c r="S123" t="str">
        <f ca="1"/>
        <v>010-4818-1890</v>
      </c>
      <c r="T123" t="str">
        <f ca="1"/>
        <v>서울특별시 노원구 섬밭로 232 현대우성아파트 103동 1404호</v>
      </c>
      <c r="U123" t="str">
        <f ca="1"/>
        <v>jeonghankim@neurophet.com</v>
      </c>
    </row>
    <row r="124" spans="1:21" x14ac:dyDescent="0.3">
      <c r="A124">
        <f ca="1"/>
        <v>123</v>
      </c>
      <c r="B124">
        <f ca="1"/>
        <v>24072202</v>
      </c>
      <c r="C124" t="str">
        <f ca="1"/>
        <v>김도연B</v>
      </c>
      <c r="D124" t="str">
        <f ca="1"/>
        <v>대표이사</v>
      </c>
      <c r="E124" t="str">
        <f ca="1"/>
        <v>SV팀</v>
      </c>
      <c r="F124" t="str">
        <f ca="1"/>
        <v>SW검증</v>
      </c>
      <c r="G124" t="str">
        <f ca="1"/>
        <v>Member</v>
      </c>
      <c r="H124" t="str">
        <f ca="1"/>
        <v>멤버</v>
      </c>
      <c r="I124">
        <f ca="1"/>
        <v>45495</v>
      </c>
      <c r="J124">
        <f ca="1"/>
        <v>45495</v>
      </c>
      <c r="K124" t="str">
        <f ca="1"/>
        <v>정규직</v>
      </c>
      <c r="L124" t="str">
        <f ca="1"/>
        <v>사무직</v>
      </c>
      <c r="M124" t="str">
        <f ca="1"/>
        <v>재직</v>
      </c>
      <c r="N124" t="str">
        <f ca="1"/>
        <v>910607-1011216</v>
      </c>
      <c r="O124">
        <f ca="1"/>
        <v>33396</v>
      </c>
      <c r="P124" t="str">
        <f ca="1"/>
        <v>남</v>
      </c>
      <c r="Q124">
        <f ca="1"/>
        <v>35</v>
      </c>
      <c r="R124">
        <f ca="1"/>
        <v>33</v>
      </c>
      <c r="S124" t="str">
        <f ca="1"/>
        <v>010-9049-7847</v>
      </c>
      <c r="T124" t="str">
        <f ca="1"/>
        <v>서울특별시 은평구 녹번동 280-1 JR아파트 104동 1304호</v>
      </c>
      <c r="U124" t="str">
        <f ca="1"/>
        <v>kdy@neurophet.com</v>
      </c>
    </row>
    <row r="125" spans="1:21" x14ac:dyDescent="0.3">
      <c r="A125">
        <f ca="1"/>
        <v>124</v>
      </c>
      <c r="B125">
        <f ca="1"/>
        <v>24072203</v>
      </c>
      <c r="C125" t="str">
        <f ca="1"/>
        <v>최영훈</v>
      </c>
      <c r="D125" t="str">
        <f ca="1"/>
        <v>비즈니스본부</v>
      </c>
      <c r="E125" t="str">
        <f ca="1"/>
        <v>국내세일즈팀</v>
      </c>
      <c r="F125" t="str">
        <f ca="1"/>
        <v>영업</v>
      </c>
      <c r="G125" t="str">
        <f ca="1"/>
        <v>Member</v>
      </c>
      <c r="H125" t="str">
        <f ca="1"/>
        <v>멤버</v>
      </c>
      <c r="I125">
        <f ca="1"/>
        <v>45495</v>
      </c>
      <c r="J125">
        <f ca="1"/>
        <v>45495</v>
      </c>
      <c r="K125" t="str">
        <f ca="1"/>
        <v>정규직</v>
      </c>
      <c r="L125" t="str">
        <f ca="1"/>
        <v>사무직</v>
      </c>
      <c r="M125" t="str">
        <f ca="1"/>
        <v>재직</v>
      </c>
      <c r="N125" t="str">
        <f ca="1"/>
        <v>910327-1117513</v>
      </c>
      <c r="O125">
        <f ca="1"/>
        <v>33324</v>
      </c>
      <c r="P125" t="str">
        <f ca="1"/>
        <v>남</v>
      </c>
      <c r="Q125">
        <f ca="1"/>
        <v>35</v>
      </c>
      <c r="R125">
        <f ca="1"/>
        <v>34</v>
      </c>
      <c r="S125" t="str">
        <f ca="1"/>
        <v>010-9558-6854</v>
      </c>
      <c r="T125" t="str">
        <f ca="1"/>
        <v>경기도 화성시 동탄역로 128, 중앙파크뷰 521호</v>
      </c>
      <c r="U125" t="str">
        <f ca="1"/>
        <v>yhchoi@neurophet.com</v>
      </c>
    </row>
    <row r="126" spans="1:21" x14ac:dyDescent="0.3">
      <c r="A126">
        <f ca="1"/>
        <v>125</v>
      </c>
      <c r="B126">
        <f ca="1"/>
        <v>24080101</v>
      </c>
      <c r="C126" t="str">
        <f ca="1"/>
        <v>김정인</v>
      </c>
      <c r="D126" t="str">
        <f ca="1"/>
        <v>대표이사</v>
      </c>
      <c r="E126" t="str">
        <f ca="1"/>
        <v>QA팀</v>
      </c>
      <c r="F126" t="str">
        <f ca="1"/>
        <v>QA</v>
      </c>
      <c r="G126" t="str">
        <f ca="1"/>
        <v>Member</v>
      </c>
      <c r="H126" t="str">
        <f ca="1"/>
        <v>멤버</v>
      </c>
      <c r="I126">
        <f ca="1"/>
        <v>45505</v>
      </c>
      <c r="J126">
        <f ca="1"/>
        <v>45505</v>
      </c>
      <c r="K126" t="str">
        <f ca="1"/>
        <v>정규직</v>
      </c>
      <c r="L126" t="str">
        <f ca="1"/>
        <v>사무직</v>
      </c>
      <c r="M126" t="str">
        <f ca="1"/>
        <v>재직</v>
      </c>
      <c r="N126" t="str">
        <f ca="1"/>
        <v>941109-2140611</v>
      </c>
      <c r="O126">
        <f ca="1"/>
        <v>34647</v>
      </c>
      <c r="P126" t="str">
        <f ca="1"/>
        <v>여</v>
      </c>
      <c r="Q126">
        <f ca="1"/>
        <v>32</v>
      </c>
      <c r="R126">
        <f ca="1"/>
        <v>30</v>
      </c>
      <c r="S126" t="str">
        <f ca="1"/>
        <v>010-7679-3135</v>
      </c>
      <c r="T126" t="str">
        <f ca="1"/>
        <v xml:space="preserve">경기도 성남시 수정구 제일로 147번길 4 수진현대아파트, 1204호 </v>
      </c>
      <c r="U126" t="str">
        <f ca="1"/>
        <v>jeongin@neurophet.com</v>
      </c>
    </row>
    <row r="127" spans="1:21" x14ac:dyDescent="0.3">
      <c r="A127">
        <f ca="1"/>
        <v>126</v>
      </c>
      <c r="B127">
        <f ca="1"/>
        <v>24080103</v>
      </c>
      <c r="C127" t="str">
        <f ca="1"/>
        <v>정기원</v>
      </c>
      <c r="D127" t="str">
        <f ca="1"/>
        <v>비즈니스본부</v>
      </c>
      <c r="E127" t="str">
        <f ca="1"/>
        <v>해외세일즈팀</v>
      </c>
      <c r="F127" t="str">
        <f ca="1"/>
        <v>해외영업지원</v>
      </c>
      <c r="G127" t="str">
        <f ca="1"/>
        <v>Member</v>
      </c>
      <c r="H127" t="str">
        <f ca="1"/>
        <v>멤버</v>
      </c>
      <c r="I127">
        <f ca="1"/>
        <v>45505</v>
      </c>
      <c r="J127">
        <f ca="1"/>
        <v>45505</v>
      </c>
      <c r="K127" t="str">
        <f ca="1"/>
        <v>정규직</v>
      </c>
      <c r="L127" t="str">
        <f ca="1"/>
        <v>사무직</v>
      </c>
      <c r="M127" t="str">
        <f ca="1"/>
        <v>재직</v>
      </c>
      <c r="N127" t="str">
        <f ca="1"/>
        <v>990302-1784019</v>
      </c>
      <c r="O127">
        <f ca="1"/>
        <v>36221</v>
      </c>
      <c r="P127" t="str">
        <f ca="1"/>
        <v>남</v>
      </c>
      <c r="Q127">
        <f ca="1"/>
        <v>27</v>
      </c>
      <c r="R127">
        <f ca="1"/>
        <v>26</v>
      </c>
      <c r="S127" t="str">
        <f ca="1"/>
        <v>010-2379-2893</v>
      </c>
      <c r="T127" t="str">
        <f ca="1"/>
        <v>서울특별시 은평구 은평터널로 16 DMC파인시티자이 114동 301호</v>
      </c>
      <c r="U127" t="str">
        <f ca="1"/>
        <v>kiwon@neurophet.com</v>
      </c>
    </row>
    <row r="128" spans="1:21" x14ac:dyDescent="0.3">
      <c r="A128">
        <f ca="1"/>
        <v>127</v>
      </c>
      <c r="B128">
        <f ca="1"/>
        <v>24090201</v>
      </c>
      <c r="C128" t="str">
        <f ca="1"/>
        <v>박찬웅</v>
      </c>
      <c r="D128" t="str">
        <f ca="1"/>
        <v>비즈니스본부</v>
      </c>
      <c r="E128" t="str">
        <f ca="1"/>
        <v>ICL팀</v>
      </c>
      <c r="F128" t="str">
        <f ca="1"/>
        <v>CRO BD</v>
      </c>
      <c r="G128" t="str">
        <f ca="1"/>
        <v>Director</v>
      </c>
      <c r="H128" t="str">
        <f ca="1"/>
        <v>팀리드</v>
      </c>
      <c r="I128">
        <f ca="1"/>
        <v>45537</v>
      </c>
      <c r="J128">
        <f ca="1"/>
        <v>45537</v>
      </c>
      <c r="K128" t="str">
        <f ca="1"/>
        <v>정규직</v>
      </c>
      <c r="L128" t="str">
        <f ca="1"/>
        <v>사무직</v>
      </c>
      <c r="M128" t="str">
        <f ca="1"/>
        <v>재직</v>
      </c>
      <c r="N128" t="str">
        <f ca="1"/>
        <v>810819-1052510</v>
      </c>
      <c r="O128">
        <f ca="1"/>
        <v>29817</v>
      </c>
      <c r="P128" t="str">
        <f ca="1"/>
        <v>남</v>
      </c>
      <c r="Q128">
        <f ca="1"/>
        <v>45</v>
      </c>
      <c r="R128">
        <f ca="1"/>
        <v>43</v>
      </c>
      <c r="S128" t="str">
        <f ca="1"/>
        <v>010-6791-6020</v>
      </c>
      <c r="T128" t="str">
        <f ca="1"/>
        <v>서울특별시 마포구 대흥로 164 마포프레스티지자이 302동 1404호</v>
      </c>
      <c r="U128" t="str">
        <f ca="1"/>
        <v>chanwoong.park@neurophet.com</v>
      </c>
    </row>
    <row r="129" spans="1:21" x14ac:dyDescent="0.3">
      <c r="A129">
        <f ca="1"/>
        <v>128</v>
      </c>
      <c r="B129">
        <f ca="1"/>
        <v>23091101</v>
      </c>
      <c r="C129" t="str">
        <f ca="1"/>
        <v>김도연A</v>
      </c>
      <c r="D129" t="str">
        <f ca="1"/>
        <v>연구본부</v>
      </c>
      <c r="E129" t="str">
        <f ca="1"/>
        <v>AR3팀</v>
      </c>
      <c r="F129" t="str">
        <f ca="1"/>
        <v>AI연구</v>
      </c>
      <c r="G129" t="str">
        <f ca="1"/>
        <v>Member</v>
      </c>
      <c r="H129" t="str">
        <f ca="1"/>
        <v>멤버</v>
      </c>
      <c r="I129">
        <f ca="1"/>
        <v>45180</v>
      </c>
      <c r="J129">
        <f ca="1"/>
        <v>45566</v>
      </c>
      <c r="K129" t="str">
        <f ca="1"/>
        <v>정규직</v>
      </c>
      <c r="L129" t="str">
        <f ca="1"/>
        <v>연구직</v>
      </c>
      <c r="M129" t="str">
        <f ca="1"/>
        <v>재직</v>
      </c>
      <c r="N129" t="str">
        <f ca="1"/>
        <v>010125-4164524</v>
      </c>
      <c r="O129">
        <f ca="1"/>
        <v>36916</v>
      </c>
      <c r="P129" t="str">
        <f ca="1"/>
        <v>여</v>
      </c>
      <c r="Q129">
        <f ca="1"/>
        <v>25</v>
      </c>
      <c r="R129">
        <f ca="1"/>
        <v>24</v>
      </c>
      <c r="S129" t="str">
        <f ca="1"/>
        <v>010-3406-8250</v>
      </c>
      <c r="T129" t="str">
        <f ca="1"/>
        <v>경기도 군포시 산본천로199번길 22-4, 403호</v>
      </c>
      <c r="U129" t="str">
        <f ca="1"/>
        <v>doyeon@neurophet.com</v>
      </c>
    </row>
    <row r="130" spans="1:21" x14ac:dyDescent="0.3">
      <c r="A130">
        <f ca="1"/>
        <v>129</v>
      </c>
      <c r="B130">
        <f ca="1"/>
        <v>24060302</v>
      </c>
      <c r="C130" t="str">
        <f ca="1"/>
        <v>김다현</v>
      </c>
      <c r="D130" t="str">
        <f ca="1"/>
        <v>연구본부</v>
      </c>
      <c r="E130" t="str">
        <f ca="1"/>
        <v>AR1팀</v>
      </c>
      <c r="F130" t="str">
        <f ca="1"/>
        <v>AI연구</v>
      </c>
      <c r="G130" t="str">
        <f ca="1"/>
        <v>Member</v>
      </c>
      <c r="H130" t="str">
        <f ca="1"/>
        <v>멤버</v>
      </c>
      <c r="I130">
        <f ca="1"/>
        <v>45446</v>
      </c>
      <c r="J130">
        <f ca="1"/>
        <v>45566</v>
      </c>
      <c r="K130" t="str">
        <f ca="1"/>
        <v>정규직</v>
      </c>
      <c r="L130" t="str">
        <f ca="1"/>
        <v>연구직</v>
      </c>
      <c r="M130" t="str">
        <f ca="1"/>
        <v>재직</v>
      </c>
      <c r="N130" t="str">
        <f ca="1"/>
        <v>950306-2150012</v>
      </c>
      <c r="O130">
        <f ca="1"/>
        <v>34764</v>
      </c>
      <c r="P130" t="str">
        <f ca="1"/>
        <v>여</v>
      </c>
      <c r="Q130">
        <f ca="1"/>
        <v>31</v>
      </c>
      <c r="R130">
        <f ca="1"/>
        <v>30</v>
      </c>
      <c r="S130" t="str">
        <f ca="1"/>
        <v>010-8013-8167</v>
      </c>
      <c r="T130" t="str">
        <f ca="1"/>
        <v>인천광역시 연수구 원인재로 88 105동 1904호</v>
      </c>
      <c r="U130" t="str">
        <f ca="1"/>
        <v>dahyun@neurophet.com</v>
      </c>
    </row>
    <row r="131" spans="1:21" x14ac:dyDescent="0.3">
      <c r="A131">
        <f ca="1"/>
        <v>130</v>
      </c>
      <c r="B131">
        <f ca="1"/>
        <v>24101401</v>
      </c>
      <c r="C131" t="str">
        <f ca="1"/>
        <v>유용성</v>
      </c>
      <c r="D131" t="str">
        <f ca="1"/>
        <v>경영본부</v>
      </c>
      <c r="E131" t="str">
        <f ca="1"/>
        <v>IR팀</v>
      </c>
      <c r="F131" t="str">
        <f ca="1"/>
        <v>IR</v>
      </c>
      <c r="G131" t="str">
        <f ca="1"/>
        <v>Member</v>
      </c>
      <c r="H131" t="str">
        <f ca="1"/>
        <v>멤버</v>
      </c>
      <c r="I131">
        <f ca="1"/>
        <v>45579</v>
      </c>
      <c r="J131">
        <f ca="1"/>
        <v>45579</v>
      </c>
      <c r="K131" t="str">
        <f ca="1"/>
        <v>정규직</v>
      </c>
      <c r="L131" t="str">
        <f ca="1"/>
        <v>사무직</v>
      </c>
      <c r="M131" t="str">
        <f ca="1"/>
        <v>재직</v>
      </c>
      <c r="N131" t="str">
        <f ca="1"/>
        <v>880228-1222427</v>
      </c>
      <c r="O131">
        <f ca="1"/>
        <v>32201</v>
      </c>
      <c r="P131" t="str">
        <f ca="1"/>
        <v>남</v>
      </c>
      <c r="Q131">
        <f ca="1"/>
        <v>38</v>
      </c>
      <c r="R131">
        <f ca="1"/>
        <v>37</v>
      </c>
      <c r="S131" t="str">
        <f ca="1"/>
        <v>010-9820-8220</v>
      </c>
      <c r="T131" t="str">
        <f ca="1"/>
        <v>서울특별시 관악구 조원로4길 28-4, 401호</v>
      </c>
      <c r="U131" t="str">
        <f ca="1"/>
        <v>noah@neurophet.com</v>
      </c>
    </row>
    <row r="132" spans="1:21" x14ac:dyDescent="0.3">
      <c r="A132">
        <f ca="1"/>
        <v>131</v>
      </c>
      <c r="B132">
        <f ca="1"/>
        <v>24101402</v>
      </c>
      <c r="C132" t="str">
        <f ca="1"/>
        <v>임철</v>
      </c>
      <c r="D132" t="str">
        <f ca="1"/>
        <v>프로덕트본부</v>
      </c>
      <c r="E132" t="str">
        <f ca="1"/>
        <v>PMO실</v>
      </c>
      <c r="F132" t="str">
        <f ca="1"/>
        <v>PMO</v>
      </c>
      <c r="G132" t="str">
        <f ca="1"/>
        <v>Director</v>
      </c>
      <c r="H132" t="str">
        <f ca="1"/>
        <v>실리드</v>
      </c>
      <c r="I132">
        <f ca="1"/>
        <v>45579</v>
      </c>
      <c r="J132">
        <f ca="1"/>
        <v>45579</v>
      </c>
      <c r="K132" t="str">
        <f ca="1"/>
        <v>정규직</v>
      </c>
      <c r="L132" t="str">
        <f ca="1"/>
        <v>사무직</v>
      </c>
      <c r="M132" t="str">
        <f ca="1"/>
        <v>재직</v>
      </c>
      <c r="N132" t="str">
        <f ca="1"/>
        <v>751017-1648811</v>
      </c>
      <c r="O132">
        <f ca="1"/>
        <v>27684</v>
      </c>
      <c r="P132" t="str">
        <f ca="1"/>
        <v>남</v>
      </c>
      <c r="Q132">
        <f ca="1"/>
        <v>51</v>
      </c>
      <c r="R132">
        <f ca="1"/>
        <v>49</v>
      </c>
      <c r="S132" t="str">
        <f ca="1"/>
        <v>010-3335-7292</v>
      </c>
      <c r="T132" t="str">
        <f ca="1"/>
        <v>인천광역시 연수구 송도문화로 28번길 81 108동 604호</v>
      </c>
      <c r="U132" t="str">
        <f ca="1"/>
        <v>clim@neurophet.com</v>
      </c>
    </row>
    <row r="133" spans="1:21" x14ac:dyDescent="0.3">
      <c r="A133">
        <f ca="1"/>
        <v>132</v>
      </c>
      <c r="B133">
        <f ca="1"/>
        <v>24102101</v>
      </c>
      <c r="C133" t="str">
        <f ca="1"/>
        <v>김민섭</v>
      </c>
      <c r="D133" t="str">
        <f ca="1"/>
        <v>프로덕트본부</v>
      </c>
      <c r="E133" t="str">
        <f ca="1"/>
        <v>Platform팀</v>
      </c>
      <c r="F133" t="str">
        <f ca="1"/>
        <v>DevOps</v>
      </c>
      <c r="G133" t="str">
        <f ca="1"/>
        <v>Member</v>
      </c>
      <c r="H133" t="str">
        <f ca="1"/>
        <v>멤버</v>
      </c>
      <c r="I133">
        <f ca="1"/>
        <v>45586</v>
      </c>
      <c r="J133">
        <f ca="1"/>
        <v>45586</v>
      </c>
      <c r="K133" t="str">
        <f ca="1"/>
        <v>정규직</v>
      </c>
      <c r="L133" t="str">
        <f ca="1"/>
        <v>연구직</v>
      </c>
      <c r="M133" t="str">
        <f ca="1"/>
        <v>재직</v>
      </c>
      <c r="N133" t="str">
        <f ca="1"/>
        <v>960430-1067214</v>
      </c>
      <c r="O133">
        <f ca="1"/>
        <v>35185</v>
      </c>
      <c r="P133" t="str">
        <f ca="1"/>
        <v>남</v>
      </c>
      <c r="Q133">
        <f ca="1"/>
        <v>30</v>
      </c>
      <c r="R133">
        <f ca="1"/>
        <v>28</v>
      </c>
      <c r="S133" t="str">
        <f ca="1"/>
        <v>010-7138-9164</v>
      </c>
      <c r="T133" t="str">
        <f ca="1"/>
        <v>서울특별시 은평구 통일로78길 36, 602호 (불광동)</v>
      </c>
      <c r="U133" t="str">
        <f ca="1"/>
        <v>minseop@neurophet.com</v>
      </c>
    </row>
    <row r="134" spans="1:21" x14ac:dyDescent="0.3">
      <c r="A134">
        <f ca="1"/>
        <v>133</v>
      </c>
      <c r="B134">
        <f ca="1"/>
        <v>24102102</v>
      </c>
      <c r="C134" t="str">
        <f ca="1"/>
        <v>황재욱</v>
      </c>
      <c r="D134" t="str">
        <f ca="1"/>
        <v>연구본부</v>
      </c>
      <c r="E134" t="str">
        <f ca="1"/>
        <v>TechOps팀</v>
      </c>
      <c r="F134" t="str">
        <f ca="1"/>
        <v>레이블링</v>
      </c>
      <c r="G134" t="str">
        <f ca="1"/>
        <v>Member</v>
      </c>
      <c r="H134" t="str">
        <f ca="1"/>
        <v>멤버</v>
      </c>
      <c r="I134">
        <f ca="1"/>
        <v>45586</v>
      </c>
      <c r="J134">
        <f ca="1"/>
        <v>45586</v>
      </c>
      <c r="K134" t="str">
        <f ca="1"/>
        <v>정규직</v>
      </c>
      <c r="L134" t="str">
        <f ca="1"/>
        <v>사무직</v>
      </c>
      <c r="M134" t="str">
        <f ca="1"/>
        <v>재직</v>
      </c>
      <c r="N134" t="str">
        <f ca="1"/>
        <v>850104-1810110</v>
      </c>
      <c r="O134">
        <f ca="1"/>
        <v>31051</v>
      </c>
      <c r="P134" t="str">
        <f ca="1"/>
        <v>남</v>
      </c>
      <c r="Q134">
        <f ca="1"/>
        <v>41</v>
      </c>
      <c r="R134">
        <f ca="1"/>
        <v>40</v>
      </c>
      <c r="S134" t="str">
        <f ca="1"/>
        <v>010-2515-5874</v>
      </c>
      <c r="T134" t="str">
        <f ca="1"/>
        <v>강원특별자치도 강릉시 동해대로 2768 강릉자이파인베뉴 111동2201호</v>
      </c>
      <c r="U134" t="str">
        <f ca="1"/>
        <v>jaewook@neurophet.com</v>
      </c>
    </row>
    <row r="135" spans="1:21" x14ac:dyDescent="0.3">
      <c r="A135">
        <f ca="1"/>
        <v>134</v>
      </c>
      <c r="B135">
        <f ca="1"/>
        <v>24112001</v>
      </c>
      <c r="C135" t="str">
        <f ca="1"/>
        <v>장재훈</v>
      </c>
      <c r="D135" t="str">
        <f ca="1"/>
        <v>경영본부</v>
      </c>
      <c r="E135" t="str">
        <f ca="1"/>
        <v>운영팀</v>
      </c>
      <c r="F135" t="str">
        <f ca="1"/>
        <v>총무</v>
      </c>
      <c r="G135" t="str">
        <f ca="1"/>
        <v>Member</v>
      </c>
      <c r="H135" t="str">
        <f ca="1"/>
        <v>멤버</v>
      </c>
      <c r="I135">
        <f ca="1"/>
        <v>45616</v>
      </c>
      <c r="J135">
        <f ca="1"/>
        <v>45616</v>
      </c>
      <c r="K135" t="str">
        <f ca="1"/>
        <v>정규직</v>
      </c>
      <c r="L135" t="str">
        <f ca="1"/>
        <v>사무직</v>
      </c>
      <c r="M135" t="str">
        <f ca="1"/>
        <v>재직</v>
      </c>
      <c r="N135" t="str">
        <f ca="1"/>
        <v>931118-1081717</v>
      </c>
      <c r="O135">
        <f ca="1"/>
        <v>34291</v>
      </c>
      <c r="P135" t="str">
        <f ca="1"/>
        <v>남</v>
      </c>
      <c r="Q135">
        <f ca="1"/>
        <v>33</v>
      </c>
      <c r="R135">
        <f ca="1"/>
        <v>31</v>
      </c>
      <c r="S135" t="str">
        <f ca="1"/>
        <v>010-5310-7151</v>
      </c>
      <c r="T135" t="str">
        <f ca="1"/>
        <v>서울특별시 송파구 송이로31길 20 힐스테이트e편한세상 문정 101동 204호</v>
      </c>
      <c r="U135" t="str">
        <f ca="1"/>
        <v>jjh6351@neurophet.com</v>
      </c>
    </row>
    <row r="136" spans="1:21" x14ac:dyDescent="0.3">
      <c r="A136">
        <f ca="1"/>
        <v>135</v>
      </c>
      <c r="B136">
        <f ca="1"/>
        <v>23090401</v>
      </c>
      <c r="C136" t="str">
        <f ca="1"/>
        <v>고가연</v>
      </c>
      <c r="D136" t="str">
        <f ca="1"/>
        <v>연구본부</v>
      </c>
      <c r="E136" t="str">
        <f ca="1"/>
        <v>TechOps팀</v>
      </c>
      <c r="F136" t="str">
        <f ca="1"/>
        <v>레이블링</v>
      </c>
      <c r="G136" t="str">
        <f ca="1"/>
        <v>Member</v>
      </c>
      <c r="H136" t="str">
        <f ca="1"/>
        <v>멤버</v>
      </c>
      <c r="I136">
        <f ca="1"/>
        <v>45173</v>
      </c>
      <c r="J136">
        <f ca="1"/>
        <v>45627</v>
      </c>
      <c r="K136" t="str">
        <f ca="1"/>
        <v>정규직</v>
      </c>
      <c r="L136" t="str">
        <f ca="1"/>
        <v>연구직</v>
      </c>
      <c r="M136" t="str">
        <f ca="1"/>
        <v>재직</v>
      </c>
      <c r="N136" t="str">
        <f ca="1"/>
        <v>860418-2703715</v>
      </c>
      <c r="O136">
        <f ca="1"/>
        <v>31520</v>
      </c>
      <c r="P136" t="str">
        <f ca="1"/>
        <v>여</v>
      </c>
      <c r="Q136">
        <f ca="1"/>
        <v>40</v>
      </c>
      <c r="R136">
        <f ca="1"/>
        <v>38</v>
      </c>
      <c r="S136" t="str">
        <f ca="1"/>
        <v>010-4919-4018</v>
      </c>
      <c r="T136" t="str">
        <f ca="1"/>
        <v>경기도 수원시 영통구 덕영대로 1400 210동 2302호</v>
      </c>
      <c r="U136" t="str">
        <f ca="1"/>
        <v>gyko@neurophet.com</v>
      </c>
    </row>
    <row r="137" spans="1:21" x14ac:dyDescent="0.3">
      <c r="A137">
        <f ca="1"/>
        <v>136</v>
      </c>
      <c r="B137">
        <f ca="1"/>
        <v>24120901</v>
      </c>
      <c r="C137" t="str">
        <f ca="1"/>
        <v>강신일</v>
      </c>
      <c r="D137" t="str">
        <f ca="1"/>
        <v>프로덕트본부</v>
      </c>
      <c r="E137" t="str">
        <f ca="1"/>
        <v>AQUA팀</v>
      </c>
      <c r="F137" t="str">
        <f ca="1"/>
        <v>Backend</v>
      </c>
      <c r="G137" t="str">
        <f ca="1"/>
        <v>Member</v>
      </c>
      <c r="H137" t="str">
        <f ca="1"/>
        <v>멤버</v>
      </c>
      <c r="I137">
        <f ca="1"/>
        <v>45635</v>
      </c>
      <c r="J137">
        <f ca="1"/>
        <v>45635</v>
      </c>
      <c r="K137" t="str">
        <f ca="1"/>
        <v>정규직</v>
      </c>
      <c r="L137" t="str">
        <f ca="1"/>
        <v>연구직</v>
      </c>
      <c r="M137" t="str">
        <f ca="1"/>
        <v>재직</v>
      </c>
      <c r="N137" t="str">
        <f ca="1"/>
        <v>911127-1149620</v>
      </c>
      <c r="O137">
        <f ca="1"/>
        <v>33569</v>
      </c>
      <c r="P137" t="str">
        <f ca="1"/>
        <v>남</v>
      </c>
      <c r="Q137">
        <f ca="1"/>
        <v>35</v>
      </c>
      <c r="R137">
        <f ca="1"/>
        <v>33</v>
      </c>
      <c r="S137" t="str">
        <f ca="1"/>
        <v>010-8440-1944</v>
      </c>
      <c r="T137" t="str">
        <f ca="1"/>
        <v>서울특별시 영등포구 당산로 83 101동 1804호</v>
      </c>
      <c r="U137" t="str">
        <f ca="1"/>
        <v>sikang@neurophet.com</v>
      </c>
    </row>
    <row r="138" spans="1:21" x14ac:dyDescent="0.3">
      <c r="A138">
        <f ca="1"/>
        <v>137</v>
      </c>
      <c r="B138">
        <f ca="1"/>
        <v>24121601</v>
      </c>
      <c r="C138" t="str">
        <f ca="1"/>
        <v>정수인</v>
      </c>
      <c r="D138" t="str">
        <f ca="1"/>
        <v>비즈니스본부</v>
      </c>
      <c r="E138" t="str">
        <f ca="1"/>
        <v>마케팅팀</v>
      </c>
      <c r="F138" t="str">
        <f ca="1"/>
        <v>마케팅</v>
      </c>
      <c r="G138" t="str">
        <f ca="1"/>
        <v>Member</v>
      </c>
      <c r="H138" t="str">
        <f ca="1"/>
        <v>멤버</v>
      </c>
      <c r="I138">
        <f ca="1"/>
        <v>45642</v>
      </c>
      <c r="J138">
        <f ca="1"/>
        <v>45642</v>
      </c>
      <c r="K138" t="str">
        <f ca="1"/>
        <v>정규직</v>
      </c>
      <c r="L138" t="str">
        <f ca="1"/>
        <v>사무직</v>
      </c>
      <c r="M138" t="str">
        <f ca="1"/>
        <v>재직</v>
      </c>
      <c r="N138" t="str">
        <f ca="1"/>
        <v>861016-2351225</v>
      </c>
      <c r="O138">
        <f ca="1"/>
        <v>31701</v>
      </c>
      <c r="P138" t="str">
        <f ca="1"/>
        <v>여</v>
      </c>
      <c r="Q138">
        <f ca="1"/>
        <v>40</v>
      </c>
      <c r="R138">
        <f ca="1"/>
        <v>38</v>
      </c>
      <c r="S138" t="str">
        <f ca="1"/>
        <v>010-7430-3537</v>
      </c>
      <c r="T138" t="str">
        <f ca="1"/>
        <v>서울특별시 송파구 충민로 5 송파한화오벨리스크 D동 1122호</v>
      </c>
      <c r="U138" t="str">
        <f ca="1"/>
        <v>suin@neurophet.com</v>
      </c>
    </row>
    <row r="139" spans="1:21" x14ac:dyDescent="0.3">
      <c r="A139">
        <f ca="1"/>
        <v>138</v>
      </c>
      <c r="B139">
        <f ca="1"/>
        <v>24123001</v>
      </c>
      <c r="C139" t="str">
        <f ca="1"/>
        <v>김희연</v>
      </c>
      <c r="D139" t="str">
        <f ca="1"/>
        <v>프로덕트본부</v>
      </c>
      <c r="E139" t="str">
        <f ca="1"/>
        <v>SE팀</v>
      </c>
      <c r="F139" t="str">
        <f ca="1"/>
        <v>기술지원</v>
      </c>
      <c r="G139" t="str">
        <f ca="1"/>
        <v>Member</v>
      </c>
      <c r="H139" t="str">
        <f ca="1"/>
        <v>멤버</v>
      </c>
      <c r="I139">
        <f ca="1"/>
        <v>45656</v>
      </c>
      <c r="J139">
        <f ca="1"/>
        <v>45656</v>
      </c>
      <c r="K139" t="str">
        <f ca="1"/>
        <v>정규직</v>
      </c>
      <c r="L139" t="str">
        <f ca="1"/>
        <v>연구직</v>
      </c>
      <c r="M139" t="str">
        <f ca="1"/>
        <v>재직</v>
      </c>
      <c r="N139" t="str">
        <f ca="1"/>
        <v>900427-2076119</v>
      </c>
      <c r="O139">
        <f ca="1"/>
        <v>32990</v>
      </c>
      <c r="P139" t="str">
        <f ca="1"/>
        <v>여</v>
      </c>
      <c r="Q139">
        <f ca="1"/>
        <v>36</v>
      </c>
      <c r="R139">
        <f ca="1"/>
        <v>34</v>
      </c>
      <c r="S139" t="str">
        <f ca="1"/>
        <v>010-2898-8884</v>
      </c>
      <c r="T139" t="str">
        <f ca="1"/>
        <v>경기도 시흥시 수풀안길 14-22 목감로얄팰리스 4차 710호</v>
      </c>
      <c r="U139" t="str">
        <f ca="1"/>
        <v>kim.heeyeon@neurophet.com</v>
      </c>
    </row>
    <row r="140" spans="1:21" x14ac:dyDescent="0.3">
      <c r="A140">
        <f ca="1"/>
        <v>139</v>
      </c>
      <c r="B140">
        <f ca="1"/>
        <v>24123002</v>
      </c>
      <c r="C140" t="str">
        <f ca="1"/>
        <v>한재희</v>
      </c>
      <c r="D140" t="str">
        <f ca="1"/>
        <v>프로덕트본부</v>
      </c>
      <c r="E140" t="str">
        <f ca="1"/>
        <v>SE팀</v>
      </c>
      <c r="F140" t="str">
        <f ca="1"/>
        <v>기술지원</v>
      </c>
      <c r="G140" t="str">
        <f ca="1"/>
        <v>Member</v>
      </c>
      <c r="H140" t="str">
        <f ca="1"/>
        <v>멤버</v>
      </c>
      <c r="I140">
        <f ca="1"/>
        <v>45656</v>
      </c>
      <c r="J140">
        <f ca="1"/>
        <v>45656</v>
      </c>
      <c r="K140" t="str">
        <f ca="1"/>
        <v>정규직</v>
      </c>
      <c r="L140" t="str">
        <f ca="1"/>
        <v>연구직</v>
      </c>
      <c r="M140" t="str">
        <f ca="1"/>
        <v>재직</v>
      </c>
      <c r="N140" t="str">
        <f ca="1"/>
        <v>890417-1013011</v>
      </c>
      <c r="O140">
        <f ca="1"/>
        <v>32615</v>
      </c>
      <c r="P140" t="str">
        <f ca="1"/>
        <v>남</v>
      </c>
      <c r="Q140">
        <f ca="1"/>
        <v>37</v>
      </c>
      <c r="R140">
        <f ca="1"/>
        <v>35</v>
      </c>
      <c r="S140" t="str">
        <f ca="1"/>
        <v>010-9494-5445</v>
      </c>
      <c r="T140" t="str">
        <f ca="1"/>
        <v>경기도 안산시 단원구 석수로 138, 101동 504호</v>
      </c>
      <c r="U140" t="str">
        <f ca="1"/>
        <v>jhhan@neurophet.com</v>
      </c>
    </row>
    <row r="141" spans="1:21" x14ac:dyDescent="0.3">
      <c r="A141">
        <f ca="1"/>
        <v>140</v>
      </c>
      <c r="B141">
        <f ca="1"/>
        <v>25010601</v>
      </c>
      <c r="C141" t="str">
        <f ca="1"/>
        <v>배수진</v>
      </c>
      <c r="D141" t="str">
        <f ca="1"/>
        <v>비즈니스본부</v>
      </c>
      <c r="E141" t="str">
        <f ca="1"/>
        <v>해외세일즈팀</v>
      </c>
      <c r="F141" t="str">
        <f ca="1"/>
        <v>해외영업</v>
      </c>
      <c r="G141" t="str">
        <f ca="1"/>
        <v>Member</v>
      </c>
      <c r="H141" t="str">
        <f ca="1"/>
        <v>멤버</v>
      </c>
      <c r="I141">
        <f ca="1"/>
        <v>45663</v>
      </c>
      <c r="J141">
        <f ca="1"/>
        <v>45663</v>
      </c>
      <c r="K141" t="str">
        <f ca="1"/>
        <v>정규직</v>
      </c>
      <c r="L141" t="str">
        <f ca="1"/>
        <v>사무직</v>
      </c>
      <c r="M141" t="str">
        <f ca="1"/>
        <v>재직</v>
      </c>
      <c r="N141" t="str">
        <f ca="1"/>
        <v>800723-2675010</v>
      </c>
      <c r="O141">
        <f ca="1"/>
        <v>29425</v>
      </c>
      <c r="P141" t="str">
        <f ca="1"/>
        <v>여</v>
      </c>
      <c r="Q141">
        <f ca="1"/>
        <v>46</v>
      </c>
      <c r="R141">
        <f ca="1"/>
        <v>44</v>
      </c>
      <c r="S141" t="str">
        <f ca="1"/>
        <v>010-8761-2976</v>
      </c>
      <c r="T141" t="str">
        <f ca="1"/>
        <v xml:space="preserve">경기도 광명시 디지털로 64 109동 1702호 </v>
      </c>
      <c r="U141" t="str">
        <f ca="1"/>
        <v>sujinbae@neurophet.com</v>
      </c>
    </row>
    <row r="142" spans="1:21" x14ac:dyDescent="0.3">
      <c r="A142">
        <f ca="1"/>
        <v>141</v>
      </c>
      <c r="B142">
        <f ca="1"/>
        <v>25010602</v>
      </c>
      <c r="C142" t="str">
        <f ca="1"/>
        <v>진경수</v>
      </c>
      <c r="D142" t="str">
        <f ca="1"/>
        <v>프로덕트본부</v>
      </c>
      <c r="E142" t="str">
        <f ca="1"/>
        <v>SE팀</v>
      </c>
      <c r="F142" t="str">
        <f ca="1"/>
        <v>기술지원</v>
      </c>
      <c r="G142" t="str">
        <f ca="1"/>
        <v>Member</v>
      </c>
      <c r="H142" t="str">
        <f ca="1"/>
        <v>멤버</v>
      </c>
      <c r="I142">
        <f ca="1"/>
        <v>45663</v>
      </c>
      <c r="J142">
        <f ca="1"/>
        <v>45663</v>
      </c>
      <c r="K142" t="str">
        <f ca="1"/>
        <v>정규직</v>
      </c>
      <c r="L142" t="str">
        <f ca="1"/>
        <v>연구직</v>
      </c>
      <c r="M142" t="str">
        <f ca="1"/>
        <v>재직</v>
      </c>
      <c r="N142" t="str">
        <f ca="1"/>
        <v>920331-1081515</v>
      </c>
      <c r="O142">
        <f ca="1"/>
        <v>33694</v>
      </c>
      <c r="P142" t="str">
        <f ca="1"/>
        <v>남</v>
      </c>
      <c r="Q142">
        <f ca="1"/>
        <v>34</v>
      </c>
      <c r="R142">
        <f ca="1"/>
        <v>33</v>
      </c>
      <c r="S142" t="str">
        <f ca="1"/>
        <v>010-4134-8792</v>
      </c>
      <c r="T142" t="str">
        <f ca="1"/>
        <v>서울특별시 노원구 공릉로46길 32 삼익포레스트 108동 1303호</v>
      </c>
      <c r="U142" t="str">
        <f ca="1"/>
        <v>jinks@neurophet.com</v>
      </c>
    </row>
    <row r="143" spans="1:21" x14ac:dyDescent="0.3">
      <c r="A143">
        <f ca="1"/>
        <v>142</v>
      </c>
      <c r="B143">
        <f ca="1"/>
        <v>25011301</v>
      </c>
      <c r="C143" t="str">
        <f ca="1"/>
        <v>남대열</v>
      </c>
      <c r="D143" t="str">
        <f ca="1"/>
        <v>경영본부</v>
      </c>
      <c r="E143" t="str">
        <f ca="1"/>
        <v>PR팀</v>
      </c>
      <c r="F143" t="str">
        <f ca="1"/>
        <v>PR</v>
      </c>
      <c r="G143" t="str">
        <f ca="1"/>
        <v>Member</v>
      </c>
      <c r="H143" t="str">
        <f ca="1"/>
        <v>멤버</v>
      </c>
      <c r="I143">
        <f ca="1"/>
        <v>45670</v>
      </c>
      <c r="J143">
        <f ca="1"/>
        <v>45670</v>
      </c>
      <c r="K143" t="str">
        <f ca="1"/>
        <v>정규직</v>
      </c>
      <c r="L143" t="str">
        <f ca="1"/>
        <v>사무직</v>
      </c>
      <c r="M143" t="str">
        <f ca="1"/>
        <v>재직</v>
      </c>
      <c r="N143" t="str">
        <f ca="1"/>
        <v>920626-1011913</v>
      </c>
      <c r="O143">
        <f ca="1"/>
        <v>33781</v>
      </c>
      <c r="P143" t="str">
        <f ca="1"/>
        <v>남</v>
      </c>
      <c r="Q143">
        <f ca="1"/>
        <v>34</v>
      </c>
      <c r="R143">
        <f ca="1"/>
        <v>32</v>
      </c>
      <c r="S143" t="str">
        <f ca="1"/>
        <v>010-7340-5698</v>
      </c>
      <c r="T143" t="str">
        <f ca="1"/>
        <v>경기도 구리시 동구릉로 53번길 67 202동 208호</v>
      </c>
      <c r="U143" t="str">
        <f ca="1"/>
        <v>dynam@neurophet.com</v>
      </c>
    </row>
    <row r="144" spans="1:21" x14ac:dyDescent="0.3">
      <c r="A144">
        <f ca="1"/>
        <v>143</v>
      </c>
      <c r="B144">
        <f ca="1"/>
        <v>25011302</v>
      </c>
      <c r="C144" t="str">
        <f ca="1"/>
        <v>이영훈</v>
      </c>
      <c r="D144" t="str">
        <f ca="1"/>
        <v>연구본부</v>
      </c>
      <c r="E144" t="str">
        <f ca="1"/>
        <v>AIOps팀</v>
      </c>
      <c r="F144" t="str">
        <f ca="1"/>
        <v>AI연구</v>
      </c>
      <c r="G144" t="str">
        <f ca="1"/>
        <v>Member</v>
      </c>
      <c r="H144" t="str">
        <f ca="1"/>
        <v>멤버</v>
      </c>
      <c r="I144">
        <f ca="1"/>
        <v>45670</v>
      </c>
      <c r="J144">
        <f ca="1"/>
        <v>45670</v>
      </c>
      <c r="K144" t="str">
        <f ca="1"/>
        <v>정규직</v>
      </c>
      <c r="L144" t="str">
        <f ca="1"/>
        <v>연구직</v>
      </c>
      <c r="M144" t="str">
        <f ca="1"/>
        <v>재직</v>
      </c>
      <c r="N144" t="str">
        <f ca="1"/>
        <v>001220-3784018</v>
      </c>
      <c r="O144">
        <f ca="1"/>
        <v>36880</v>
      </c>
      <c r="P144" t="str">
        <f ca="1"/>
        <v>남</v>
      </c>
      <c r="Q144">
        <f ca="1"/>
        <v>26</v>
      </c>
      <c r="R144">
        <f ca="1"/>
        <v>24</v>
      </c>
      <c r="S144" t="str">
        <f ca="1"/>
        <v>010-6589-2220</v>
      </c>
      <c r="T144" t="str">
        <f ca="1"/>
        <v>서울특별시 관악구 봉천로346, 603호</v>
      </c>
      <c r="U144" t="str">
        <f ca="1"/>
        <v>yeonghun@neurophet.com</v>
      </c>
    </row>
    <row r="145" spans="1:21" x14ac:dyDescent="0.3">
      <c r="A145">
        <f ca="1"/>
        <v>144</v>
      </c>
      <c r="B145">
        <f ca="1"/>
        <v>25020301</v>
      </c>
      <c r="C145" t="str">
        <f ca="1"/>
        <v>한재후</v>
      </c>
      <c r="D145" t="str">
        <f ca="1"/>
        <v>비즈니스본부</v>
      </c>
      <c r="E145" t="str">
        <f ca="1"/>
        <v>해외세일즈팀</v>
      </c>
      <c r="F145" t="str">
        <f ca="1"/>
        <v>해외영업</v>
      </c>
      <c r="G145" t="str">
        <f ca="1"/>
        <v>Member</v>
      </c>
      <c r="H145" t="str">
        <f ca="1"/>
        <v>멤버</v>
      </c>
      <c r="I145">
        <f ca="1"/>
        <v>45691</v>
      </c>
      <c r="J145">
        <f ca="1"/>
        <v>45691</v>
      </c>
      <c r="K145" t="str">
        <f ca="1"/>
        <v>정규직</v>
      </c>
      <c r="L145" t="str">
        <f ca="1"/>
        <v>사무직</v>
      </c>
      <c r="M145" t="str">
        <f ca="1"/>
        <v>재직</v>
      </c>
      <c r="N145" t="str">
        <f ca="1"/>
        <v>910124-1078516</v>
      </c>
      <c r="O145">
        <f ca="1"/>
        <v>33262</v>
      </c>
      <c r="P145" t="str">
        <f ca="1"/>
        <v>남</v>
      </c>
      <c r="Q145">
        <f ca="1"/>
        <v>35</v>
      </c>
      <c r="R145">
        <f ca="1"/>
        <v>34</v>
      </c>
      <c r="S145" t="str">
        <f ca="1"/>
        <v>010-7271-9070</v>
      </c>
      <c r="T145" t="str">
        <f ca="1"/>
        <v>경기 평택시 고덕로 191 고덕국제신도시금호어울림 1102동 201호</v>
      </c>
      <c r="U145" t="str">
        <f ca="1"/>
        <v>jaehoo@neurophet.com</v>
      </c>
    </row>
    <row r="146" spans="1:21" x14ac:dyDescent="0.3">
      <c r="A146">
        <f ca="1"/>
        <v>145</v>
      </c>
      <c r="B146">
        <f ca="1"/>
        <v>25021001</v>
      </c>
      <c r="C146" t="str">
        <f ca="1"/>
        <v>문은영</v>
      </c>
      <c r="D146" t="str">
        <f ca="1"/>
        <v>비즈니스본부</v>
      </c>
      <c r="E146" t="str">
        <f ca="1"/>
        <v>영업관리팀</v>
      </c>
      <c r="F146" t="str">
        <f ca="1"/>
        <v>영업지원, 매출관리 등</v>
      </c>
      <c r="G146" t="str">
        <f ca="1"/>
        <v>Lead</v>
      </c>
      <c r="H146" t="str">
        <f ca="1"/>
        <v>팀리드</v>
      </c>
      <c r="I146">
        <f ca="1"/>
        <v>45698</v>
      </c>
      <c r="J146">
        <f ca="1"/>
        <v>45698</v>
      </c>
      <c r="K146" t="str">
        <f ca="1"/>
        <v>정규직</v>
      </c>
      <c r="L146" t="str">
        <f ca="1"/>
        <v>사무직</v>
      </c>
      <c r="M146" t="str">
        <f ca="1"/>
        <v>재직</v>
      </c>
      <c r="N146" t="str">
        <f ca="1"/>
        <v>750702-2058212</v>
      </c>
      <c r="O146">
        <f ca="1"/>
        <v>27577</v>
      </c>
      <c r="P146" t="str">
        <f ca="1"/>
        <v>여</v>
      </c>
      <c r="Q146">
        <f ca="1"/>
        <v>51</v>
      </c>
      <c r="R146">
        <f ca="1"/>
        <v>49</v>
      </c>
      <c r="S146" t="str">
        <f ca="1"/>
        <v>010-2385-0814</v>
      </c>
      <c r="T146" t="str">
        <f ca="1"/>
        <v>경기도 용인시 기흥구 금화로58번길 10, 상갈메트로파크 403-904</v>
      </c>
      <c r="U146" t="str">
        <f ca="1"/>
        <v>eymoon@neurophet.com</v>
      </c>
    </row>
    <row r="147" spans="1:21" x14ac:dyDescent="0.3">
      <c r="A147">
        <f ca="1"/>
        <v>146</v>
      </c>
      <c r="B147">
        <f ca="1"/>
        <v>25021002</v>
      </c>
      <c r="C147" t="str">
        <f ca="1"/>
        <v>조현준</v>
      </c>
      <c r="D147" t="str">
        <f ca="1"/>
        <v>비즈니스본부</v>
      </c>
      <c r="E147" t="str">
        <f ca="1"/>
        <v>국내세일즈팀</v>
      </c>
      <c r="F147" t="str">
        <f ca="1"/>
        <v>영업</v>
      </c>
      <c r="G147" t="str">
        <f ca="1"/>
        <v>Member</v>
      </c>
      <c r="H147" t="str">
        <f ca="1"/>
        <v>멤버</v>
      </c>
      <c r="I147">
        <f ca="1"/>
        <v>45698</v>
      </c>
      <c r="J147">
        <f ca="1"/>
        <v>45698</v>
      </c>
      <c r="K147" t="str">
        <f ca="1"/>
        <v>정규직</v>
      </c>
      <c r="L147" t="str">
        <f ca="1"/>
        <v>사무직</v>
      </c>
      <c r="M147" t="str">
        <f ca="1"/>
        <v>재직</v>
      </c>
      <c r="N147" t="str">
        <f ca="1"/>
        <v>961011-1164811</v>
      </c>
      <c r="O147">
        <f ca="1"/>
        <v>35349</v>
      </c>
      <c r="P147" t="str">
        <f ca="1"/>
        <v>남</v>
      </c>
      <c r="Q147">
        <f ca="1"/>
        <v>30</v>
      </c>
      <c r="R147">
        <f ca="1"/>
        <v>28</v>
      </c>
      <c r="S147" t="str">
        <f ca="1"/>
        <v>010-8110-2163</v>
      </c>
      <c r="T147" t="str">
        <f ca="1"/>
        <v>경기도 화성시 동탄반석로 71 452동 1603호</v>
      </c>
      <c r="U147" t="str">
        <f ca="1"/>
        <v>joon@neurophet.com</v>
      </c>
    </row>
    <row r="148" spans="1:21" x14ac:dyDescent="0.3">
      <c r="A148">
        <f ca="1"/>
        <v>147</v>
      </c>
      <c r="B148">
        <f ca="1"/>
        <v>24080601</v>
      </c>
      <c r="C148" t="str">
        <f ca="1"/>
        <v>이은우</v>
      </c>
      <c r="D148" t="str">
        <f ca="1"/>
        <v>연구본부</v>
      </c>
      <c r="E148" t="str">
        <f ca="1"/>
        <v>의학팀</v>
      </c>
      <c r="F148" t="str">
        <f ca="1"/>
        <v>의료분야에 연구 문헌검색, 의료행위 식별, 논문리뷰, 자료정리 등</v>
      </c>
      <c r="G148" t="str">
        <f ca="1"/>
        <v>Temporary</v>
      </c>
      <c r="H148" t="str">
        <f ca="1"/>
        <v>계약직</v>
      </c>
      <c r="I148">
        <f ca="1"/>
        <v>45510</v>
      </c>
      <c r="J148">
        <f ca="1"/>
        <v>45510</v>
      </c>
      <c r="K148" t="str">
        <f ca="1"/>
        <v>계약직</v>
      </c>
      <c r="L148" t="str">
        <f ca="1"/>
        <v>사무직</v>
      </c>
      <c r="M148" t="str">
        <f ca="1"/>
        <v>재직</v>
      </c>
      <c r="N148" t="str">
        <f ca="1"/>
        <v>981216-2020911</v>
      </c>
      <c r="O148">
        <f ca="1"/>
        <v>36145</v>
      </c>
      <c r="P148" t="str">
        <f ca="1"/>
        <v>여</v>
      </c>
      <c r="Q148">
        <f ca="1"/>
        <v>28</v>
      </c>
      <c r="R148">
        <f ca="1"/>
        <v>26</v>
      </c>
      <c r="S148" t="str">
        <f ca="1"/>
        <v>010-9414-3371</v>
      </c>
      <c r="T148" t="str">
        <f ca="1"/>
        <v>서울특별시 용산구 이촌로 174 102-2303</v>
      </c>
      <c r="U148" t="str">
        <f ca="1"/>
        <v>eunwoo@neurophet.com</v>
      </c>
    </row>
    <row r="149" spans="1:21" x14ac:dyDescent="0.3">
      <c r="A149">
        <f ca="1"/>
        <v>148</v>
      </c>
      <c r="B149">
        <f ca="1"/>
        <v>24102103</v>
      </c>
      <c r="C149" t="str">
        <f ca="1"/>
        <v>이용대</v>
      </c>
      <c r="D149" t="str">
        <f ca="1"/>
        <v>연구본부</v>
      </c>
      <c r="E149" t="str">
        <f ca="1"/>
        <v>NR1팀</v>
      </c>
      <c r="F149" t="str">
        <f ca="1"/>
        <v>레이블링 디렉팅, 제품리포트기획, 영상소견 자문 등</v>
      </c>
      <c r="G149" t="str">
        <f ca="1"/>
        <v>Temporary</v>
      </c>
      <c r="H149" t="str">
        <f ca="1"/>
        <v>계약직</v>
      </c>
      <c r="I149">
        <f ca="1"/>
        <v>45586</v>
      </c>
      <c r="J149">
        <f ca="1"/>
        <v>45586</v>
      </c>
      <c r="K149" t="str">
        <f ca="1"/>
        <v>계약직</v>
      </c>
      <c r="L149" t="str">
        <f ca="1"/>
        <v>사무직</v>
      </c>
      <c r="M149" t="str">
        <f ca="1"/>
        <v>재직</v>
      </c>
      <c r="N149" t="str">
        <f ca="1"/>
        <v>891101-1178514</v>
      </c>
      <c r="O149">
        <f ca="1"/>
        <v>32813</v>
      </c>
      <c r="P149" t="str">
        <f ca="1"/>
        <v>남</v>
      </c>
      <c r="Q149">
        <f ca="1"/>
        <v>37</v>
      </c>
      <c r="R149">
        <f ca="1"/>
        <v>35</v>
      </c>
      <c r="S149" t="str">
        <f ca="1"/>
        <v>010-8382-8302</v>
      </c>
      <c r="T149" t="str">
        <f ca="1"/>
        <v>서울특별시 강남구 광평로51길 27 405동 908호</v>
      </c>
      <c r="U149" t="str">
        <f ca="1"/>
        <v>yongdae@neurophet.com</v>
      </c>
    </row>
    <row r="150" spans="1:21" x14ac:dyDescent="0.3">
      <c r="A150">
        <f ca="1"/>
        <v>149</v>
      </c>
      <c r="B150">
        <f ca="1"/>
        <v>23110101</v>
      </c>
      <c r="C150" t="str">
        <f ca="1"/>
        <v>이희승</v>
      </c>
      <c r="D150" t="str">
        <f ca="1"/>
        <v>프로덕트본부</v>
      </c>
      <c r="E150" t="str">
        <f ca="1"/>
        <v>PM팀</v>
      </c>
      <c r="F150" t="str">
        <f ca="1"/>
        <v>Product Specialist(PS)</v>
      </c>
      <c r="G150" t="str">
        <f ca="1"/>
        <v>Member</v>
      </c>
      <c r="H150" t="str">
        <f ca="1"/>
        <v>멤버</v>
      </c>
      <c r="I150">
        <f ca="1"/>
        <v>45231</v>
      </c>
      <c r="J150">
        <f ca="1"/>
        <v>45231</v>
      </c>
      <c r="K150" t="str">
        <f ca="1"/>
        <v>정규직</v>
      </c>
      <c r="L150" t="str">
        <f ca="1"/>
        <v>연구직</v>
      </c>
      <c r="M150" t="str">
        <f ca="1"/>
        <v>퇴직</v>
      </c>
      <c r="N150" t="str">
        <f ca="1"/>
        <v>850107-1010917</v>
      </c>
      <c r="O150">
        <f ca="1"/>
        <v>31054</v>
      </c>
      <c r="P150" t="str">
        <f ca="1"/>
        <v>남</v>
      </c>
      <c r="Q150">
        <f ca="1"/>
        <v>41</v>
      </c>
      <c r="R150">
        <f ca="1"/>
        <v>40</v>
      </c>
      <c r="S150" t="str">
        <f ca="1"/>
        <v>010-2270-3385</v>
      </c>
      <c r="T150" t="str">
        <f ca="1"/>
        <v>인천광역시 연수구 센트럴로 232 더샵센트럴파크1 101동 3702호</v>
      </c>
      <c r="U150" t="str">
        <f ca="1"/>
        <v>hslee@neurophet.com</v>
      </c>
    </row>
    <row r="151" spans="1:21" x14ac:dyDescent="0.3">
      <c r="A151">
        <f ca="1"/>
        <v>150</v>
      </c>
      <c r="B151">
        <f ca="1"/>
        <v>22030201</v>
      </c>
      <c r="C151" t="str">
        <f ca="1"/>
        <v>고진수</v>
      </c>
      <c r="D151" t="str">
        <f ca="1"/>
        <v>비즈니스본부</v>
      </c>
      <c r="E151" t="str">
        <f ca="1"/>
        <v>세일즈&amp;서비스실</v>
      </c>
      <c r="F151" t="str">
        <f ca="1"/>
        <v>국내영업총괄</v>
      </c>
      <c r="G151" t="str">
        <f ca="1"/>
        <v>Director</v>
      </c>
      <c r="H151" t="str">
        <f ca="1"/>
        <v>실리드</v>
      </c>
      <c r="I151">
        <f ca="1"/>
        <v>44622</v>
      </c>
      <c r="J151">
        <f ca="1"/>
        <v>44622</v>
      </c>
      <c r="K151" t="str">
        <f ca="1"/>
        <v>정규직</v>
      </c>
      <c r="L151" t="str">
        <f ca="1"/>
        <v>사무직</v>
      </c>
      <c r="M151" t="str">
        <f ca="1"/>
        <v>퇴직</v>
      </c>
      <c r="N151" t="str">
        <f ca="1"/>
        <v>760801-1098115</v>
      </c>
      <c r="O151">
        <f ca="1"/>
        <v>27973</v>
      </c>
      <c r="P151" t="str">
        <f ca="1"/>
        <v>남</v>
      </c>
      <c r="Q151">
        <f ca="1"/>
        <v>50</v>
      </c>
      <c r="R151">
        <f ca="1"/>
        <v>48</v>
      </c>
      <c r="S151" t="str">
        <f ca="1"/>
        <v>010-4236-2625</v>
      </c>
      <c r="T151" t="str">
        <f ca="1"/>
        <v>경기도 고양시 마두동 강석로110, 강촌마을 라이프5단지 505동 1505호</v>
      </c>
      <c r="U151" t="str">
        <f ca="1"/>
        <v>jsko@neurophet.com</v>
      </c>
    </row>
    <row r="152" spans="1:21" x14ac:dyDescent="0.3">
      <c r="A152">
        <f ca="1"/>
        <v>151</v>
      </c>
      <c r="B152">
        <f ca="1"/>
        <v>20100501</v>
      </c>
      <c r="C152" t="str">
        <f ca="1"/>
        <v>김별이</v>
      </c>
      <c r="D152" t="str">
        <f ca="1"/>
        <v>대표이사</v>
      </c>
      <c r="E152" t="str">
        <f ca="1"/>
        <v>RA팀</v>
      </c>
      <c r="F152" t="str">
        <f ca="1"/>
        <v>인증</v>
      </c>
      <c r="G152" t="str">
        <f ca="1"/>
        <v>Lead</v>
      </c>
      <c r="H152" t="str">
        <f ca="1"/>
        <v>팀리드</v>
      </c>
      <c r="I152">
        <f ca="1"/>
        <v>44109</v>
      </c>
      <c r="J152">
        <f ca="1"/>
        <v>44109</v>
      </c>
      <c r="K152" t="str">
        <f ca="1"/>
        <v>정규직</v>
      </c>
      <c r="L152" t="str">
        <f ca="1"/>
        <v>사무직</v>
      </c>
      <c r="M152" t="str">
        <f ca="1"/>
        <v>퇴직</v>
      </c>
      <c r="N152" t="str">
        <f ca="1"/>
        <v>940104-2065714</v>
      </c>
      <c r="O152">
        <f ca="1"/>
        <v>34338</v>
      </c>
      <c r="P152" t="str">
        <f ca="1"/>
        <v>여</v>
      </c>
      <c r="Q152">
        <f ca="1"/>
        <v>32</v>
      </c>
      <c r="R152">
        <f ca="1"/>
        <v>31</v>
      </c>
      <c r="S152" t="str">
        <f ca="1"/>
        <v>010-8344-9975</v>
      </c>
      <c r="T152" t="str">
        <f ca="1"/>
        <v>경기도 화성시 동탄순환대로24길 101, 435동 507호 (영천동, 동탄2LH4단지)</v>
      </c>
      <c r="U152" t="str">
        <f ca="1"/>
        <v>bekim@neurophet.com</v>
      </c>
    </row>
    <row r="153" spans="1:21" x14ac:dyDescent="0.3">
      <c r="A153">
        <f ca="1"/>
        <v>152</v>
      </c>
      <c r="B153">
        <f ca="1"/>
        <v>25010901</v>
      </c>
      <c r="C153" t="str">
        <f ca="1"/>
        <v>고윤아</v>
      </c>
      <c r="D153" t="str">
        <f ca="1"/>
        <v>연구본부</v>
      </c>
      <c r="E153" t="str">
        <f ca="1"/>
        <v>임상팀</v>
      </c>
      <c r="F153" t="str">
        <f ca="1"/>
        <v>임상팀 지원 업무</v>
      </c>
      <c r="G153" t="str">
        <f ca="1"/>
        <v>Temporary</v>
      </c>
      <c r="H153" t="str">
        <f ca="1"/>
        <v>계약직</v>
      </c>
      <c r="I153">
        <f ca="1"/>
        <v>45666</v>
      </c>
      <c r="J153">
        <f ca="1"/>
        <v>45666</v>
      </c>
      <c r="K153" t="str">
        <f ca="1"/>
        <v>계약직</v>
      </c>
      <c r="L153" t="str">
        <f ca="1"/>
        <v>사무직</v>
      </c>
      <c r="M153" t="str">
        <f ca="1"/>
        <v>퇴직</v>
      </c>
      <c r="N153" t="str">
        <f ca="1"/>
        <v>011211-4075110</v>
      </c>
      <c r="O153">
        <f ca="1"/>
        <v>37236</v>
      </c>
      <c r="P153" t="str">
        <f ca="1"/>
        <v>여</v>
      </c>
      <c r="Q153">
        <f ca="1"/>
        <v>25</v>
      </c>
      <c r="R153">
        <f ca="1"/>
        <v>23</v>
      </c>
      <c r="S153" t="str">
        <f ca="1"/>
        <v>010-9354-4597</v>
      </c>
      <c r="T153" t="str">
        <f ca="1"/>
        <v xml:space="preserve">경기도 용인시 기흥구 동백8로 90 (동백동, 백현마을모아미래도1단지아파트) 2408-406 </v>
      </c>
      <c r="U153" t="str">
        <f ca="1"/>
        <v>yuna.ko@neurophet.com</v>
      </c>
    </row>
    <row r="154" spans="1:21" x14ac:dyDescent="0.3">
      <c r="A154">
        <f ca="1"/>
        <v>153</v>
      </c>
      <c r="B154">
        <f ca="1"/>
        <v>23121902</v>
      </c>
      <c r="C154" t="str">
        <f ca="1"/>
        <v>김하람</v>
      </c>
      <c r="D154" t="str">
        <f ca="1"/>
        <v>연구본부</v>
      </c>
      <c r="E154" t="str">
        <f ca="1"/>
        <v>NR2팀</v>
      </c>
      <c r="F154" t="str">
        <f ca="1"/>
        <v>데이터검수</v>
      </c>
      <c r="G154" t="str">
        <f ca="1"/>
        <v>Member</v>
      </c>
      <c r="H154" t="str">
        <f ca="1"/>
        <v>멤버</v>
      </c>
      <c r="I154">
        <f ca="1"/>
        <v>45279</v>
      </c>
      <c r="J154">
        <f ca="1"/>
        <v>45474</v>
      </c>
      <c r="K154" t="str">
        <f ca="1"/>
        <v>정규직</v>
      </c>
      <c r="L154" t="str">
        <f ca="1"/>
        <v>연구직</v>
      </c>
      <c r="M154" t="str">
        <f ca="1"/>
        <v>퇴직</v>
      </c>
      <c r="N154" t="str">
        <f ca="1"/>
        <v>981228-1496213</v>
      </c>
      <c r="O154">
        <f ca="1"/>
        <v>36157</v>
      </c>
      <c r="P154" t="str">
        <f ca="1"/>
        <v>남</v>
      </c>
      <c r="Q154">
        <f ca="1"/>
        <v>28</v>
      </c>
      <c r="R154">
        <f ca="1"/>
        <v>26</v>
      </c>
      <c r="S154" t="str">
        <f ca="1"/>
        <v>010-7742-1431</v>
      </c>
      <c r="T154" t="str">
        <f ca="1"/>
        <v>경기도 용인시 처인구 모현읍 왕산리 248-1</v>
      </c>
      <c r="U154" t="str">
        <f ca="1"/>
        <v>haram@neurophet.com</v>
      </c>
    </row>
    <row r="155" spans="1:21" x14ac:dyDescent="0.3">
      <c r="A155">
        <f ca="1"/>
        <v>154</v>
      </c>
      <c r="B155">
        <f ca="1"/>
        <v>22090102</v>
      </c>
      <c r="C155" t="str">
        <f ca="1"/>
        <v>이사라</v>
      </c>
      <c r="D155" t="str">
        <f ca="1"/>
        <v>비즈니스본부</v>
      </c>
      <c r="E155" t="str">
        <f ca="1"/>
        <v>마케팅팀</v>
      </c>
      <c r="F155" t="str">
        <f ca="1"/>
        <v>마케팅</v>
      </c>
      <c r="G155" t="str">
        <f ca="1"/>
        <v>Member</v>
      </c>
      <c r="H155" t="str">
        <f ca="1"/>
        <v>멤버</v>
      </c>
      <c r="I155">
        <f ca="1"/>
        <v>44805</v>
      </c>
      <c r="J155">
        <f ca="1"/>
        <v>44805</v>
      </c>
      <c r="K155" t="str">
        <f ca="1"/>
        <v>정규직</v>
      </c>
      <c r="L155" t="str">
        <f ca="1"/>
        <v>사무직</v>
      </c>
      <c r="M155" t="str">
        <f ca="1"/>
        <v>퇴직</v>
      </c>
      <c r="N155" t="str">
        <f ca="1"/>
        <v>900429-2205019</v>
      </c>
      <c r="O155">
        <f ca="1"/>
        <v>32992</v>
      </c>
      <c r="P155" t="str">
        <f ca="1"/>
        <v>여</v>
      </c>
      <c r="Q155">
        <f ca="1"/>
        <v>36</v>
      </c>
      <c r="R155">
        <f ca="1"/>
        <v>34</v>
      </c>
      <c r="S155" t="str">
        <f ca="1"/>
        <v>010-2920-2002</v>
      </c>
      <c r="T155" t="str">
        <f ca="1"/>
        <v>서울특별시 강남구 역삼동 774-18 305호</v>
      </c>
      <c r="U155" t="str">
        <f ca="1"/>
        <v>leesara@neurophet.com</v>
      </c>
    </row>
    <row r="156" spans="1:21" x14ac:dyDescent="0.3">
      <c r="A156">
        <f ca="1"/>
        <v>155</v>
      </c>
      <c r="B156">
        <f ca="1"/>
        <v>23092501</v>
      </c>
      <c r="C156" t="str">
        <f ca="1"/>
        <v>안순영</v>
      </c>
      <c r="D156" t="str">
        <f ca="1"/>
        <v>연구본부</v>
      </c>
      <c r="E156" t="str">
        <f ca="1"/>
        <v>TechOps팀</v>
      </c>
      <c r="F156" t="str">
        <f ca="1"/>
        <v>레이블링</v>
      </c>
      <c r="G156" t="str">
        <f ca="1"/>
        <v>Temporary</v>
      </c>
      <c r="H156" t="str">
        <f ca="1"/>
        <v>계약직</v>
      </c>
      <c r="I156">
        <f ca="1"/>
        <v>45194</v>
      </c>
      <c r="J156">
        <f ca="1"/>
        <v>45194</v>
      </c>
      <c r="K156" t="str">
        <f ca="1"/>
        <v>계약직</v>
      </c>
      <c r="L156" t="str">
        <f ca="1"/>
        <v>사무직</v>
      </c>
      <c r="M156" t="str">
        <f ca="1"/>
        <v>퇴직</v>
      </c>
      <c r="N156" t="str">
        <f ca="1"/>
        <v>801115-2155416</v>
      </c>
      <c r="O156">
        <f ca="1"/>
        <v>29540</v>
      </c>
      <c r="P156" t="str">
        <f ca="1"/>
        <v>여</v>
      </c>
      <c r="Q156">
        <f ca="1"/>
        <v>46</v>
      </c>
      <c r="R156">
        <f ca="1"/>
        <v>44</v>
      </c>
      <c r="S156" t="str">
        <f ca="1"/>
        <v>010-9951-0084</v>
      </c>
      <c r="T156" t="str">
        <f ca="1"/>
        <v>인천광역시 남동구 장아산로 181, 태평2차 APT, 205호 1503호</v>
      </c>
      <c r="U156" t="str">
        <f ca="1"/>
        <v>ahnsoon@neurophet.com</v>
      </c>
    </row>
    <row r="157" spans="1:21" x14ac:dyDescent="0.3">
      <c r="A157">
        <f ca="1"/>
        <v>156</v>
      </c>
      <c r="B157">
        <f ca="1"/>
        <v>24030101</v>
      </c>
      <c r="C157" t="str">
        <f ca="1"/>
        <v>김지수</v>
      </c>
      <c r="D157" t="str">
        <f ca="1"/>
        <v>연구본부</v>
      </c>
      <c r="E157" t="str">
        <f ca="1"/>
        <v>TechOps팀</v>
      </c>
      <c r="F157" t="str">
        <f ca="1"/>
        <v>데이터검수</v>
      </c>
      <c r="G157" t="str">
        <f ca="1"/>
        <v>Temporary</v>
      </c>
      <c r="H157" t="str">
        <f ca="1"/>
        <v>계약직</v>
      </c>
      <c r="I157">
        <f ca="1"/>
        <v>45352</v>
      </c>
      <c r="J157">
        <f ca="1"/>
        <v>45352</v>
      </c>
      <c r="K157" t="str">
        <f ca="1"/>
        <v>계약직</v>
      </c>
      <c r="L157" t="str">
        <f ca="1"/>
        <v>사무직</v>
      </c>
      <c r="M157" t="str">
        <f ca="1"/>
        <v>퇴직</v>
      </c>
      <c r="N157" t="str">
        <f ca="1"/>
        <v>001127-4247416</v>
      </c>
      <c r="O157">
        <f ca="1"/>
        <v>36857</v>
      </c>
      <c r="P157" t="str">
        <f ca="1"/>
        <v>여</v>
      </c>
      <c r="Q157">
        <f ca="1"/>
        <v>26</v>
      </c>
      <c r="R157">
        <f ca="1"/>
        <v>24</v>
      </c>
      <c r="S157" t="str">
        <f ca="1"/>
        <v>010-6458-8001</v>
      </c>
      <c r="T157" t="str">
        <f ca="1"/>
        <v>경기도 하남시 아리수로 589, 1509-1001</v>
      </c>
      <c r="U157" t="str">
        <f ca="1"/>
        <v>jisoo@neurophet.com</v>
      </c>
    </row>
    <row r="158" spans="1:21" x14ac:dyDescent="0.3">
      <c r="A158">
        <f ca="1"/>
        <v>157</v>
      </c>
      <c r="B158">
        <f ca="1"/>
        <v>24070103</v>
      </c>
      <c r="C158" t="str">
        <f ca="1"/>
        <v>이영훈.</v>
      </c>
      <c r="D158" t="str">
        <f ca="1"/>
        <v>연구본부</v>
      </c>
      <c r="E158" t="str">
        <f ca="1"/>
        <v>AR3팀</v>
      </c>
      <c r="F158" t="str">
        <f ca="1"/>
        <v>AI연구</v>
      </c>
      <c r="G158" t="str">
        <f ca="1"/>
        <v>Temporary</v>
      </c>
      <c r="H158" t="str">
        <f ca="1"/>
        <v>계약직</v>
      </c>
      <c r="I158">
        <f ca="1"/>
        <v>45474</v>
      </c>
      <c r="J158">
        <f ca="1"/>
        <v>45474</v>
      </c>
      <c r="K158" t="str">
        <f ca="1"/>
        <v>계약직</v>
      </c>
      <c r="L158" t="str">
        <f ca="1"/>
        <v>사무직</v>
      </c>
      <c r="M158" t="str">
        <f ca="1"/>
        <v>퇴직</v>
      </c>
      <c r="N158" t="str">
        <f ca="1"/>
        <v>001220-3784018</v>
      </c>
      <c r="O158">
        <f ca="1"/>
        <v>36880</v>
      </c>
      <c r="P158" t="str">
        <f ca="1"/>
        <v>남</v>
      </c>
      <c r="Q158">
        <f ca="1"/>
        <v>26</v>
      </c>
      <c r="R158">
        <f ca="1"/>
        <v>24</v>
      </c>
      <c r="S158" t="str">
        <f ca="1"/>
        <v>010-6589-2220</v>
      </c>
      <c r="T158" t="str">
        <f ca="1"/>
        <v>경상북도 안동시 송천길 155 엄지빌 A동 102호</v>
      </c>
      <c r="U158" t="str">
        <f ca="1"/>
        <v>yeonghun@neurophet.com</v>
      </c>
    </row>
    <row r="159" spans="1:21" x14ac:dyDescent="0.3">
      <c r="A159">
        <f ca="1"/>
        <v>158</v>
      </c>
      <c r="B159">
        <f ca="1"/>
        <v>24092301</v>
      </c>
      <c r="C159" t="str">
        <f ca="1"/>
        <v>김상윤</v>
      </c>
      <c r="D159" t="str">
        <f ca="1"/>
        <v>비즈니스본부</v>
      </c>
      <c r="E159" t="str">
        <f ca="1"/>
        <v>세일즈1팀</v>
      </c>
      <c r="F159" t="str">
        <f ca="1"/>
        <v>영업</v>
      </c>
      <c r="G159" t="str">
        <f ca="1"/>
        <v>Member</v>
      </c>
      <c r="H159" t="str">
        <f ca="1"/>
        <v>멤버</v>
      </c>
      <c r="I159">
        <f ca="1"/>
        <v>45558</v>
      </c>
      <c r="J159">
        <f ca="1"/>
        <v>45558</v>
      </c>
      <c r="K159" t="str">
        <f ca="1"/>
        <v>정규직</v>
      </c>
      <c r="L159" t="str">
        <f ca="1"/>
        <v>사무직</v>
      </c>
      <c r="M159" t="str">
        <f ca="1"/>
        <v>퇴직</v>
      </c>
      <c r="N159" t="str">
        <f ca="1"/>
        <v>900410-1050319</v>
      </c>
      <c r="O159">
        <f ca="1"/>
        <v>32973</v>
      </c>
      <c r="P159" t="str">
        <f ca="1"/>
        <v>남</v>
      </c>
      <c r="Q159">
        <f ca="1"/>
        <v>36</v>
      </c>
      <c r="R159">
        <f ca="1"/>
        <v>34</v>
      </c>
      <c r="S159" t="str">
        <f ca="1"/>
        <v>010-8903-5900</v>
      </c>
      <c r="T159" t="str">
        <f ca="1"/>
        <v>경기도 화성시 장지동 976, 3339동 1002호</v>
      </c>
      <c r="U159" t="str">
        <f ca="1"/>
        <v>sykim@neurophet.com</v>
      </c>
    </row>
    <row r="160" spans="1:21" x14ac:dyDescent="0.3">
      <c r="A160">
        <f ca="1"/>
        <v>159</v>
      </c>
      <c r="B160">
        <f ca="1"/>
        <v>24080102</v>
      </c>
      <c r="C160" t="str">
        <f ca="1"/>
        <v>남기윤</v>
      </c>
      <c r="D160" t="str">
        <f ca="1"/>
        <v>비즈니스본부</v>
      </c>
      <c r="E160" t="str">
        <f ca="1"/>
        <v>SE팀</v>
      </c>
      <c r="F160" t="str">
        <f ca="1"/>
        <v>SE</v>
      </c>
      <c r="G160" t="str">
        <f ca="1"/>
        <v>Member</v>
      </c>
      <c r="H160" t="str">
        <f ca="1"/>
        <v>멤버</v>
      </c>
      <c r="I160">
        <f ca="1"/>
        <v>45505</v>
      </c>
      <c r="J160">
        <f ca="1"/>
        <v>45505</v>
      </c>
      <c r="K160" t="str">
        <f ca="1"/>
        <v>정규직</v>
      </c>
      <c r="L160" t="str">
        <f ca="1"/>
        <v>사무직</v>
      </c>
      <c r="M160" t="str">
        <f ca="1"/>
        <v>퇴직</v>
      </c>
      <c r="N160" t="str">
        <f ca="1"/>
        <v>970830-1194314</v>
      </c>
      <c r="O160">
        <f ca="1"/>
        <v>35672</v>
      </c>
      <c r="P160" t="str">
        <f ca="1"/>
        <v>남</v>
      </c>
      <c r="Q160">
        <f ca="1"/>
        <v>29</v>
      </c>
      <c r="R160">
        <f ca="1"/>
        <v>27</v>
      </c>
      <c r="S160" t="str">
        <f ca="1"/>
        <v>010-3300-7065</v>
      </c>
      <c r="T160" t="str">
        <f ca="1"/>
        <v>경기도 군포시 엘에스로 143(금정역, 힐스테이트 아파트) 101-401</v>
      </c>
      <c r="U160" t="str">
        <f ca="1"/>
        <v>kiyun@neurophet.com</v>
      </c>
    </row>
    <row r="161" spans="1:21" x14ac:dyDescent="0.3">
      <c r="A161">
        <f ca="1"/>
        <v>160</v>
      </c>
      <c r="B161">
        <f ca="1"/>
        <v>23012501</v>
      </c>
      <c r="C161" t="str">
        <f ca="1"/>
        <v>심새롬</v>
      </c>
      <c r="D161" t="str">
        <f ca="1"/>
        <v>경영본부</v>
      </c>
      <c r="E161" t="str">
        <f ca="1"/>
        <v>PR팀</v>
      </c>
      <c r="F161" t="str">
        <f ca="1"/>
        <v>해외PR</v>
      </c>
      <c r="G161" t="str">
        <f ca="1"/>
        <v>Member</v>
      </c>
      <c r="H161" t="str">
        <f ca="1"/>
        <v>멤버</v>
      </c>
      <c r="I161">
        <f ca="1"/>
        <v>44951</v>
      </c>
      <c r="J161">
        <f ca="1"/>
        <v>44951</v>
      </c>
      <c r="K161" t="str">
        <f ca="1"/>
        <v>정규직</v>
      </c>
      <c r="L161" t="str">
        <f ca="1"/>
        <v>사무직</v>
      </c>
      <c r="M161" t="str">
        <f ca="1"/>
        <v>퇴직</v>
      </c>
      <c r="N161" t="str">
        <f ca="1"/>
        <v>900201-2254333</v>
      </c>
      <c r="O161">
        <f ca="1"/>
        <v>32905</v>
      </c>
      <c r="P161" t="str">
        <f ca="1"/>
        <v>여</v>
      </c>
      <c r="Q161">
        <f ca="1"/>
        <v>36</v>
      </c>
      <c r="R161">
        <f ca="1"/>
        <v>35</v>
      </c>
      <c r="S161" t="str">
        <f ca="1"/>
        <v>010-9938-8355</v>
      </c>
      <c r="T161" t="str">
        <f ca="1"/>
        <v>경기도 광주시 문형산길157번길 10-11</v>
      </c>
      <c r="U161" t="str">
        <f ca="1"/>
        <v>sshim@neurophet.com</v>
      </c>
    </row>
    <row r="162" spans="1:21" x14ac:dyDescent="0.3">
      <c r="A162">
        <f ca="1"/>
        <v>161</v>
      </c>
      <c r="B162">
        <f ca="1"/>
        <v>22010303</v>
      </c>
      <c r="C162" t="str">
        <f ca="1"/>
        <v>박정우</v>
      </c>
      <c r="D162" t="str">
        <f ca="1"/>
        <v>경영본부</v>
      </c>
      <c r="E162" t="str">
        <f ca="1"/>
        <v>운영팀</v>
      </c>
      <c r="F162" t="str">
        <f ca="1"/>
        <v>총무</v>
      </c>
      <c r="G162" t="str">
        <f ca="1"/>
        <v>Member</v>
      </c>
      <c r="H162" t="str">
        <f ca="1"/>
        <v>멤버</v>
      </c>
      <c r="I162">
        <f ca="1"/>
        <v>44564</v>
      </c>
      <c r="J162">
        <f ca="1"/>
        <v>44564</v>
      </c>
      <c r="K162" t="str">
        <f ca="1"/>
        <v>정규직</v>
      </c>
      <c r="L162" t="str">
        <f ca="1"/>
        <v>사무직</v>
      </c>
      <c r="M162" t="str">
        <f ca="1"/>
        <v>퇴직</v>
      </c>
      <c r="N162" t="str">
        <f ca="1"/>
        <v>861006-1696719</v>
      </c>
      <c r="O162">
        <f ca="1"/>
        <v>31691</v>
      </c>
      <c r="P162" t="str">
        <f ca="1"/>
        <v>남</v>
      </c>
      <c r="Q162">
        <f ca="1"/>
        <v>40</v>
      </c>
      <c r="R162">
        <f ca="1"/>
        <v>38</v>
      </c>
      <c r="S162" t="str">
        <f ca="1"/>
        <v>010-8566-5599</v>
      </c>
      <c r="T162" t="str">
        <f ca="1"/>
        <v>서울특별시 은평구 은평로 220, 115동 205호 (응암동, 녹번역e편한세상캐슬)</v>
      </c>
      <c r="U162" t="str">
        <f ca="1"/>
        <v>jwpark@neurophet.com</v>
      </c>
    </row>
    <row r="163" spans="1:21" x14ac:dyDescent="0.3">
      <c r="A163">
        <f ca="1"/>
        <v>162</v>
      </c>
      <c r="B163">
        <f ca="1"/>
        <v>23071701</v>
      </c>
      <c r="C163" t="str">
        <f ca="1"/>
        <v>양상모</v>
      </c>
      <c r="D163" t="str">
        <f ca="1"/>
        <v>비즈니스본부</v>
      </c>
      <c r="E163" t="str">
        <f ca="1"/>
        <v>SE2팀</v>
      </c>
      <c r="F163" t="str">
        <f ca="1"/>
        <v>SE</v>
      </c>
      <c r="G163" t="str">
        <f ca="1"/>
        <v>Lead</v>
      </c>
      <c r="H163" t="str">
        <f ca="1"/>
        <v>팀리드</v>
      </c>
      <c r="I163">
        <f ca="1"/>
        <v>45124</v>
      </c>
      <c r="J163">
        <f ca="1"/>
        <v>45124</v>
      </c>
      <c r="K163" t="str">
        <f ca="1"/>
        <v>정규직</v>
      </c>
      <c r="L163" t="str">
        <f ca="1"/>
        <v>사무직</v>
      </c>
      <c r="M163" t="str">
        <f ca="1"/>
        <v>퇴직</v>
      </c>
      <c r="N163" t="str">
        <f ca="1"/>
        <v>800503-1837215</v>
      </c>
      <c r="O163">
        <f ca="1"/>
        <v>29344</v>
      </c>
      <c r="P163" t="str">
        <f ca="1"/>
        <v>남</v>
      </c>
      <c r="Q163">
        <f ca="1"/>
        <v>46</v>
      </c>
      <c r="R163">
        <f ca="1"/>
        <v>44</v>
      </c>
      <c r="S163" t="str">
        <f ca="1"/>
        <v>010-2582-5955</v>
      </c>
      <c r="T163" t="str">
        <f ca="1"/>
        <v>경기도 안산시 상록구 건건8길10, 108-2301호</v>
      </c>
      <c r="U163" t="str">
        <f ca="1"/>
        <v>smyang@neurophet.com</v>
      </c>
    </row>
    <row r="164" spans="1:21" x14ac:dyDescent="0.3">
      <c r="A164">
        <f ca="1"/>
        <v>163</v>
      </c>
      <c r="B164">
        <f ca="1"/>
        <v>24062001</v>
      </c>
      <c r="C164" t="str">
        <f ca="1"/>
        <v>전혜은</v>
      </c>
      <c r="D164" t="str">
        <f ca="1"/>
        <v>비즈니스본부</v>
      </c>
      <c r="E164" t="str">
        <f ca="1"/>
        <v>해외사업팀</v>
      </c>
      <c r="F164" t="str">
        <f ca="1"/>
        <v>해외영업</v>
      </c>
      <c r="G164" t="str">
        <f ca="1"/>
        <v>Member</v>
      </c>
      <c r="H164" t="str">
        <f ca="1"/>
        <v>멤버</v>
      </c>
      <c r="I164">
        <f ca="1"/>
        <v>45463</v>
      </c>
      <c r="J164">
        <f ca="1"/>
        <v>45463</v>
      </c>
      <c r="K164" t="str">
        <f ca="1"/>
        <v>정규직</v>
      </c>
      <c r="L164" t="str">
        <f ca="1"/>
        <v>사무직</v>
      </c>
      <c r="M164" t="str">
        <f ca="1"/>
        <v>퇴직</v>
      </c>
      <c r="N164" t="str">
        <f ca="1"/>
        <v>921215-2057311</v>
      </c>
      <c r="O164">
        <f ca="1"/>
        <v>33664</v>
      </c>
      <c r="P164" t="str">
        <f ca="1"/>
        <v>여</v>
      </c>
      <c r="Q164">
        <f ca="1"/>
        <v>34</v>
      </c>
      <c r="R164">
        <f ca="1"/>
        <v>33</v>
      </c>
      <c r="S164" t="str">
        <f ca="1"/>
        <v>010-2080-3797</v>
      </c>
      <c r="T164" t="str">
        <f ca="1"/>
        <v>서울특별시 구로구 구일로4길 22, 118동 407호</v>
      </c>
      <c r="U164" t="str">
        <f ca="1"/>
        <v>h_jeon@neurophet.com</v>
      </c>
    </row>
    <row r="165" spans="1:21" x14ac:dyDescent="0.3">
      <c r="A165">
        <f ca="1"/>
        <v>164</v>
      </c>
      <c r="B165">
        <f ca="1"/>
        <v>23121802</v>
      </c>
      <c r="C165" t="str">
        <f ca="1"/>
        <v>김민우</v>
      </c>
      <c r="D165" t="str">
        <f ca="1"/>
        <v>연구본부</v>
      </c>
      <c r="E165" t="str">
        <f ca="1"/>
        <v>TechOps팀</v>
      </c>
      <c r="F165" t="str">
        <f ca="1"/>
        <v>데이터검수</v>
      </c>
      <c r="G165" t="str">
        <f ca="1"/>
        <v>Temporary</v>
      </c>
      <c r="H165" t="str">
        <f ca="1"/>
        <v>계약직</v>
      </c>
      <c r="I165">
        <f ca="1"/>
        <v>45278</v>
      </c>
      <c r="J165">
        <f ca="1"/>
        <v>45278</v>
      </c>
      <c r="K165" t="str">
        <f ca="1"/>
        <v>계약직</v>
      </c>
      <c r="L165" t="str">
        <f ca="1"/>
        <v>사무직</v>
      </c>
      <c r="M165" t="str">
        <f ca="1"/>
        <v>퇴직</v>
      </c>
      <c r="N165" t="str">
        <f ca="1"/>
        <v>970512-1860411</v>
      </c>
      <c r="O165">
        <f ca="1"/>
        <v>35562</v>
      </c>
      <c r="P165" t="str">
        <f ca="1"/>
        <v>남</v>
      </c>
      <c r="Q165">
        <f ca="1"/>
        <v>29</v>
      </c>
      <c r="R165">
        <f ca="1"/>
        <v>27</v>
      </c>
      <c r="S165" t="str">
        <f ca="1"/>
        <v>010-5021-5423</v>
      </c>
      <c r="T165" t="str">
        <f ca="1"/>
        <v>인천광역시 부평구 안남로272청천금호타운 302동 2302호</v>
      </c>
      <c r="U165" t="str">
        <f ca="1"/>
        <v>mwkim@neurophet.com</v>
      </c>
    </row>
    <row r="166" spans="1:21" x14ac:dyDescent="0.3">
      <c r="A166">
        <f ca="1"/>
        <v>165</v>
      </c>
      <c r="B166">
        <f ca="1"/>
        <v>22021501</v>
      </c>
      <c r="C166" t="str">
        <f ca="1"/>
        <v>송채빈</v>
      </c>
      <c r="D166" t="str">
        <f ca="1"/>
        <v>연구본부</v>
      </c>
      <c r="E166" t="str">
        <f ca="1"/>
        <v>뇌자극팀</v>
      </c>
      <c r="F166" t="str">
        <f ca="1"/>
        <v>Planning</v>
      </c>
      <c r="G166" t="str">
        <f ca="1"/>
        <v>Member</v>
      </c>
      <c r="H166" t="str">
        <f ca="1"/>
        <v>멤버</v>
      </c>
      <c r="I166">
        <f ca="1"/>
        <v>44607</v>
      </c>
      <c r="J166">
        <f ca="1"/>
        <v>44607</v>
      </c>
      <c r="K166" t="str">
        <f ca="1"/>
        <v>정규직</v>
      </c>
      <c r="L166" t="str">
        <f ca="1"/>
        <v>연구직</v>
      </c>
      <c r="M166" t="str">
        <f ca="1"/>
        <v>퇴직</v>
      </c>
      <c r="N166" t="str">
        <f ca="1"/>
        <v>940302-2058316</v>
      </c>
      <c r="O166">
        <f ca="1"/>
        <v>34395</v>
      </c>
      <c r="P166" t="str">
        <f ca="1"/>
        <v>여</v>
      </c>
      <c r="Q166">
        <f ca="1"/>
        <v>32</v>
      </c>
      <c r="R166">
        <f ca="1"/>
        <v>31</v>
      </c>
      <c r="S166" t="str">
        <f ca="1"/>
        <v>010-3127-9403</v>
      </c>
      <c r="T166" t="str">
        <f ca="1"/>
        <v>서울특별시 구로구 구로동로28길 87 호정빌라 301호</v>
      </c>
      <c r="U166" t="str">
        <f ca="1"/>
        <v>cbsong@neurophet.com</v>
      </c>
    </row>
    <row r="167" spans="1:21" x14ac:dyDescent="0.3">
      <c r="A167">
        <f ca="1"/>
        <v>166</v>
      </c>
      <c r="B167">
        <f ca="1"/>
        <v>22110102</v>
      </c>
      <c r="C167" t="str">
        <f ca="1"/>
        <v>김영재</v>
      </c>
      <c r="D167" t="str">
        <f ca="1"/>
        <v>프로덕트본부</v>
      </c>
      <c r="E167" t="str">
        <f ca="1"/>
        <v>AQUA팀</v>
      </c>
      <c r="F167" t="str">
        <f ca="1"/>
        <v>개발</v>
      </c>
      <c r="G167" t="str">
        <f ca="1"/>
        <v>Member</v>
      </c>
      <c r="H167" t="str">
        <f ca="1"/>
        <v>멤버</v>
      </c>
      <c r="I167">
        <f ca="1"/>
        <v>44866</v>
      </c>
      <c r="J167">
        <f ca="1"/>
        <v>44866</v>
      </c>
      <c r="K167" t="str">
        <f ca="1"/>
        <v>정규직</v>
      </c>
      <c r="L167" t="str">
        <f ca="1"/>
        <v>연구직</v>
      </c>
      <c r="M167" t="str">
        <f ca="1"/>
        <v>퇴직</v>
      </c>
      <c r="N167" t="str">
        <f ca="1"/>
        <v>871013-1552311</v>
      </c>
      <c r="O167">
        <f ca="1"/>
        <v>32063</v>
      </c>
      <c r="P167" t="str">
        <f ca="1"/>
        <v>남</v>
      </c>
      <c r="Q167">
        <f ca="1"/>
        <v>39</v>
      </c>
      <c r="R167">
        <f ca="1"/>
        <v>37</v>
      </c>
      <c r="S167" t="str">
        <f ca="1"/>
        <v>010-9440-4178</v>
      </c>
      <c r="T167" t="str">
        <f ca="1"/>
        <v>경기도 성남시 분당구 성남대로172번길12 현대아리온 227</v>
      </c>
      <c r="U167" t="str">
        <f ca="1"/>
        <v>yjkim@neurophet.com</v>
      </c>
    </row>
    <row r="168" spans="1:21" x14ac:dyDescent="0.3">
      <c r="A168">
        <f ca="1"/>
        <v>167</v>
      </c>
      <c r="B168">
        <f ca="1"/>
        <v>24070102</v>
      </c>
      <c r="C168" t="str">
        <f ca="1"/>
        <v>우동훈</v>
      </c>
      <c r="D168" t="str">
        <f ca="1"/>
        <v>프로덕트본부</v>
      </c>
      <c r="E168" t="str">
        <f ca="1"/>
        <v>SV팀</v>
      </c>
      <c r="F168" t="str">
        <f ca="1"/>
        <v>테스트</v>
      </c>
      <c r="G168" t="str">
        <f ca="1"/>
        <v>Temporary</v>
      </c>
      <c r="H168" t="str">
        <f ca="1"/>
        <v>계약직</v>
      </c>
      <c r="I168">
        <f ca="1"/>
        <v>45474</v>
      </c>
      <c r="J168">
        <f ca="1"/>
        <v>45474</v>
      </c>
      <c r="K168" t="str">
        <f ca="1"/>
        <v>계약직</v>
      </c>
      <c r="L168" t="str">
        <f ca="1"/>
        <v>연구직</v>
      </c>
      <c r="M168" t="str">
        <f ca="1"/>
        <v>퇴직</v>
      </c>
      <c r="N168" t="str">
        <f ca="1"/>
        <v>980912-1267710</v>
      </c>
      <c r="O168">
        <f ca="1"/>
        <v>36050</v>
      </c>
      <c r="P168" t="str">
        <f ca="1"/>
        <v>남</v>
      </c>
      <c r="Q168">
        <f ca="1"/>
        <v>28</v>
      </c>
      <c r="R168">
        <f ca="1"/>
        <v>26</v>
      </c>
      <c r="S168" t="str">
        <f ca="1"/>
        <v>010-7554-5514</v>
      </c>
      <c r="T168" t="str">
        <f ca="1"/>
        <v>강원도 원주시 봉화로 74 101동 904호</v>
      </c>
      <c r="U168" t="str">
        <f ca="1"/>
        <v>dongheun@neurophet.com</v>
      </c>
    </row>
    <row r="169" spans="1:21" x14ac:dyDescent="0.3">
      <c r="A169">
        <f ca="1"/>
        <v>168</v>
      </c>
      <c r="B169">
        <f ca="1"/>
        <v>22040701</v>
      </c>
      <c r="C169" t="str">
        <f ca="1"/>
        <v>김도홍</v>
      </c>
      <c r="D169" t="str">
        <f ca="1"/>
        <v>비즈니스본부</v>
      </c>
      <c r="E169" t="str">
        <f ca="1"/>
        <v>해외사업팀</v>
      </c>
      <c r="F169" t="str">
        <f ca="1"/>
        <v>BD</v>
      </c>
      <c r="G169" t="str">
        <f ca="1"/>
        <v>Lead</v>
      </c>
      <c r="H169" t="str">
        <f ca="1"/>
        <v>팀리드</v>
      </c>
      <c r="I169">
        <f ca="1"/>
        <v>44658</v>
      </c>
      <c r="J169">
        <f ca="1"/>
        <v>44658</v>
      </c>
      <c r="K169" t="str">
        <f ca="1"/>
        <v>정규직</v>
      </c>
      <c r="L169" t="str">
        <f ca="1"/>
        <v>사무직</v>
      </c>
      <c r="M169" t="str">
        <f ca="1"/>
        <v>퇴직</v>
      </c>
      <c r="N169" t="str">
        <f ca="1"/>
        <v>840627-5780171</v>
      </c>
      <c r="O169">
        <f ca="1"/>
        <v>30860</v>
      </c>
      <c r="P169" t="str">
        <f ca="1"/>
        <v>남</v>
      </c>
      <c r="Q169">
        <f ca="1"/>
        <v>42</v>
      </c>
      <c r="R169">
        <f ca="1"/>
        <v>40</v>
      </c>
      <c r="S169" t="str">
        <f ca="1"/>
        <v>010-8868-7641</v>
      </c>
      <c r="T169" t="str">
        <f ca="1"/>
        <v>서울특별시 사가정로 190 우성아파트 11-1003</v>
      </c>
      <c r="U169" t="str">
        <f ca="1"/>
        <v>luis.kim@neurophet.com</v>
      </c>
    </row>
    <row r="170" spans="1:21" x14ac:dyDescent="0.3">
      <c r="A170">
        <f ca="1"/>
        <v>169</v>
      </c>
      <c r="B170">
        <f ca="1"/>
        <v>22101701</v>
      </c>
      <c r="C170" t="str">
        <f ca="1"/>
        <v>장태익</v>
      </c>
      <c r="D170" t="str">
        <f ca="1"/>
        <v>비즈니스본부</v>
      </c>
      <c r="E170" t="str">
        <f ca="1"/>
        <v>세일즈1팀</v>
      </c>
      <c r="F170" t="str">
        <f ca="1"/>
        <v>영업</v>
      </c>
      <c r="G170" t="str">
        <f ca="1"/>
        <v>Member</v>
      </c>
      <c r="H170" t="str">
        <f ca="1"/>
        <v>멤버</v>
      </c>
      <c r="I170">
        <f ca="1"/>
        <v>44851</v>
      </c>
      <c r="J170">
        <f ca="1"/>
        <v>44851</v>
      </c>
      <c r="K170" t="str">
        <f ca="1"/>
        <v>정규직</v>
      </c>
      <c r="L170" t="str">
        <f ca="1"/>
        <v>사무직</v>
      </c>
      <c r="M170" t="str">
        <f ca="1"/>
        <v>퇴직</v>
      </c>
      <c r="N170" t="str">
        <f ca="1"/>
        <v>841002-1080418</v>
      </c>
      <c r="O170">
        <f ca="1"/>
        <v>30957</v>
      </c>
      <c r="P170" t="str">
        <f ca="1"/>
        <v>남</v>
      </c>
      <c r="Q170">
        <f ca="1"/>
        <v>42</v>
      </c>
      <c r="R170">
        <f ca="1"/>
        <v>40</v>
      </c>
      <c r="S170" t="str">
        <f ca="1"/>
        <v>010-4669-1751</v>
      </c>
      <c r="T170" t="str">
        <f ca="1"/>
        <v>경기도 광명시 디지털로 63 주공 1219동 101호</v>
      </c>
      <c r="U170" t="str">
        <f ca="1"/>
        <v>taeikjang@neurophet.com</v>
      </c>
    </row>
    <row r="171" spans="1:21" x14ac:dyDescent="0.3">
      <c r="A171">
        <f ca="1"/>
        <v>170</v>
      </c>
      <c r="B171">
        <f ca="1"/>
        <v>22110103</v>
      </c>
      <c r="C171" t="str">
        <f ca="1"/>
        <v>최정민</v>
      </c>
      <c r="D171" t="str">
        <f ca="1"/>
        <v>비즈니스본부</v>
      </c>
      <c r="E171" t="str">
        <f ca="1"/>
        <v>세일즈2팀</v>
      </c>
      <c r="F171" t="str">
        <f ca="1"/>
        <v>영업</v>
      </c>
      <c r="G171" t="str">
        <f ca="1"/>
        <v>Member</v>
      </c>
      <c r="H171" t="str">
        <f ca="1"/>
        <v>멤버</v>
      </c>
      <c r="I171">
        <f ca="1"/>
        <v>44866</v>
      </c>
      <c r="J171">
        <f ca="1"/>
        <v>44866</v>
      </c>
      <c r="K171" t="str">
        <f ca="1"/>
        <v>정규직</v>
      </c>
      <c r="L171" t="str">
        <f ca="1"/>
        <v>사무직</v>
      </c>
      <c r="M171" t="str">
        <f ca="1"/>
        <v>퇴직</v>
      </c>
      <c r="N171" t="str">
        <f ca="1"/>
        <v>810829-1561418</v>
      </c>
      <c r="O171">
        <f ca="1"/>
        <v>29827</v>
      </c>
      <c r="P171" t="str">
        <f ca="1"/>
        <v>남</v>
      </c>
      <c r="Q171">
        <f ca="1"/>
        <v>45</v>
      </c>
      <c r="R171">
        <f ca="1"/>
        <v>43</v>
      </c>
      <c r="S171" t="str">
        <f ca="1"/>
        <v>010-3558-7628</v>
      </c>
      <c r="T171" t="str">
        <f ca="1"/>
        <v>경기도 안양시 동안구 벌말로 66 평촌하이필드 C동 1320호</v>
      </c>
      <c r="U171" t="str">
        <f ca="1"/>
        <v>jmchoi@neurophet.com</v>
      </c>
    </row>
    <row r="172" spans="1:21" x14ac:dyDescent="0.3">
      <c r="A172">
        <f ca="1"/>
        <v>171</v>
      </c>
      <c r="B172">
        <f ca="1"/>
        <v>24012901</v>
      </c>
      <c r="C172" t="str">
        <f ca="1"/>
        <v>정경훈</v>
      </c>
      <c r="D172" t="str">
        <f ca="1"/>
        <v>연구본부</v>
      </c>
      <c r="E172" t="str">
        <f ca="1"/>
        <v>AR2팀</v>
      </c>
      <c r="F172" t="str">
        <f ca="1"/>
        <v>AI연구</v>
      </c>
      <c r="G172" t="str">
        <f ca="1"/>
        <v>Temporary</v>
      </c>
      <c r="H172" t="str">
        <f ca="1"/>
        <v>계약직</v>
      </c>
      <c r="I172">
        <f ca="1"/>
        <v>45320</v>
      </c>
      <c r="J172">
        <f ca="1"/>
        <v>45320</v>
      </c>
      <c r="K172" t="str">
        <f ca="1"/>
        <v>계약직</v>
      </c>
      <c r="L172" t="str">
        <f ca="1"/>
        <v>사무직</v>
      </c>
      <c r="M172" t="str">
        <f ca="1"/>
        <v>퇴직</v>
      </c>
      <c r="N172" t="str">
        <f ca="1"/>
        <v>980827-1085619</v>
      </c>
      <c r="O172">
        <f ca="1"/>
        <v>36034</v>
      </c>
      <c r="P172" t="str">
        <f ca="1"/>
        <v>남</v>
      </c>
      <c r="Q172">
        <f ca="1"/>
        <v>28</v>
      </c>
      <c r="R172">
        <f ca="1"/>
        <v>26</v>
      </c>
      <c r="S172" t="str">
        <f ca="1"/>
        <v>010-5032-3735</v>
      </c>
      <c r="T172" t="str">
        <f ca="1"/>
        <v>서울특별시 강남구 학동로 77길 27 101동 904호</v>
      </c>
      <c r="U172" t="str">
        <f ca="1"/>
        <v>kyunghoon@neurophet.com</v>
      </c>
    </row>
    <row r="173" spans="1:21" x14ac:dyDescent="0.3">
      <c r="A173">
        <f ca="1"/>
        <v>172</v>
      </c>
      <c r="B173">
        <f ca="1"/>
        <v>23112002</v>
      </c>
      <c r="C173" t="str">
        <f ca="1"/>
        <v>류채은</v>
      </c>
      <c r="D173" t="str">
        <f ca="1"/>
        <v>연구본부</v>
      </c>
      <c r="E173" t="str">
        <f ca="1"/>
        <v>AR2팀</v>
      </c>
      <c r="F173" t="str">
        <f ca="1"/>
        <v>AI연구</v>
      </c>
      <c r="G173" t="str">
        <f ca="1"/>
        <v>Member</v>
      </c>
      <c r="H173" t="str">
        <f ca="1"/>
        <v>멤버</v>
      </c>
      <c r="I173">
        <f ca="1"/>
        <v>45250</v>
      </c>
      <c r="J173">
        <f ca="1"/>
        <v>45250</v>
      </c>
      <c r="K173" t="str">
        <f ca="1"/>
        <v>정규직</v>
      </c>
      <c r="L173" t="str">
        <f ca="1"/>
        <v>연구직</v>
      </c>
      <c r="M173" t="str">
        <f ca="1"/>
        <v>퇴직</v>
      </c>
      <c r="N173" t="str">
        <f ca="1"/>
        <v>990308-2030512</v>
      </c>
      <c r="O173">
        <f ca="1"/>
        <v>36227</v>
      </c>
      <c r="P173" t="str">
        <f ca="1"/>
        <v>여</v>
      </c>
      <c r="Q173">
        <f ca="1"/>
        <v>27</v>
      </c>
      <c r="R173">
        <f ca="1"/>
        <v>26</v>
      </c>
      <c r="S173" t="str">
        <f ca="1"/>
        <v>010-5765-2586</v>
      </c>
      <c r="T173" t="str">
        <f ca="1"/>
        <v>서울특별시 서초구 서초대로 17 (방배동, 방배대우디오빌)</v>
      </c>
      <c r="U173" t="str">
        <f ca="1"/>
        <v>chagrit@neurophet.com</v>
      </c>
    </row>
    <row r="174" spans="1:21" x14ac:dyDescent="0.3">
      <c r="A174">
        <f ca="1"/>
        <v>173</v>
      </c>
      <c r="B174">
        <f ca="1"/>
        <v>23120102</v>
      </c>
      <c r="C174" t="str">
        <f ca="1"/>
        <v>강지현</v>
      </c>
      <c r="D174" t="str">
        <f ca="1"/>
        <v>연구본부</v>
      </c>
      <c r="E174" t="str">
        <f ca="1"/>
        <v>TechOps팀</v>
      </c>
      <c r="F174" t="str">
        <f ca="1"/>
        <v>데이터검수</v>
      </c>
      <c r="G174" t="str">
        <f ca="1"/>
        <v>Temporary</v>
      </c>
      <c r="H174" t="str">
        <f ca="1"/>
        <v>계약직</v>
      </c>
      <c r="I174">
        <f ca="1"/>
        <v>45261</v>
      </c>
      <c r="J174">
        <f ca="1"/>
        <v>45261</v>
      </c>
      <c r="K174" t="str">
        <f ca="1"/>
        <v>계약직</v>
      </c>
      <c r="L174" t="str">
        <f ca="1"/>
        <v>사무직</v>
      </c>
      <c r="M174" t="str">
        <f ca="1"/>
        <v>퇴직</v>
      </c>
      <c r="N174" t="str">
        <f ca="1"/>
        <v>951209-2401614</v>
      </c>
      <c r="O174">
        <f ca="1"/>
        <v>35042</v>
      </c>
      <c r="P174" t="str">
        <f ca="1"/>
        <v>여</v>
      </c>
      <c r="Q174">
        <f ca="1"/>
        <v>31</v>
      </c>
      <c r="R174">
        <f ca="1"/>
        <v>29</v>
      </c>
      <c r="S174" t="str">
        <f ca="1"/>
        <v>010-9167-5627</v>
      </c>
      <c r="T174" t="str">
        <f ca="1"/>
        <v>서울특별시 강동구 올림픽로 92길 13 704호</v>
      </c>
      <c r="U174" t="str">
        <f ca="1"/>
        <v>jihyun.kang@neurophet.com</v>
      </c>
    </row>
    <row r="175" spans="1:21" x14ac:dyDescent="0.3">
      <c r="A175">
        <f ca="1"/>
        <v>174</v>
      </c>
      <c r="B175">
        <f ca="1"/>
        <v>21083002</v>
      </c>
      <c r="C175" t="str">
        <f ca="1"/>
        <v>전수현</v>
      </c>
      <c r="D175" t="str">
        <f ca="1"/>
        <v>연구본부</v>
      </c>
      <c r="E175" t="str">
        <f ca="1"/>
        <v>TechOps팀</v>
      </c>
      <c r="F175" t="str">
        <f ca="1"/>
        <v>데이터&amp;레이블링</v>
      </c>
      <c r="G175" t="str">
        <f ca="1"/>
        <v>Member</v>
      </c>
      <c r="H175" t="str">
        <f ca="1"/>
        <v>멤버</v>
      </c>
      <c r="I175">
        <f ca="1"/>
        <v>44560</v>
      </c>
      <c r="J175">
        <f ca="1"/>
        <v>44560</v>
      </c>
      <c r="K175" t="str">
        <f ca="1"/>
        <v>정규직</v>
      </c>
      <c r="L175" t="str">
        <f ca="1"/>
        <v>연구직</v>
      </c>
      <c r="M175" t="str">
        <f ca="1"/>
        <v>퇴직</v>
      </c>
      <c r="N175" t="str">
        <f ca="1"/>
        <v>980331-2267715</v>
      </c>
      <c r="O175">
        <f ca="1"/>
        <v>35885</v>
      </c>
      <c r="P175" t="str">
        <f ca="1"/>
        <v>여</v>
      </c>
      <c r="Q175">
        <f ca="1"/>
        <v>28</v>
      </c>
      <c r="R175">
        <f ca="1"/>
        <v>27</v>
      </c>
      <c r="S175" t="str">
        <f ca="1"/>
        <v>010-3227-3630</v>
      </c>
      <c r="T175" t="str">
        <f ca="1"/>
        <v>서울특별시 노원구 공릉동 506-23 303호</v>
      </c>
      <c r="U175" t="str">
        <f ca="1"/>
        <v>soohyun@neurophet.com</v>
      </c>
    </row>
    <row r="176" spans="1:21" x14ac:dyDescent="0.3">
      <c r="A176">
        <f ca="1"/>
        <v>175</v>
      </c>
      <c r="B176">
        <f ca="1"/>
        <v>20050101</v>
      </c>
      <c r="C176" t="str">
        <f ca="1"/>
        <v>김정원</v>
      </c>
      <c r="D176" t="str">
        <f ca="1"/>
        <v>경영본부</v>
      </c>
      <c r="E176" t="str">
        <f ca="1"/>
        <v>재무실</v>
      </c>
      <c r="F176" t="str">
        <f ca="1"/>
        <v>재무회계총괄</v>
      </c>
      <c r="G176" t="str">
        <f ca="1"/>
        <v>Director</v>
      </c>
      <c r="H176" t="str">
        <f ca="1"/>
        <v>팀리드</v>
      </c>
      <c r="I176">
        <f ca="1"/>
        <v>43952</v>
      </c>
      <c r="J176">
        <f ca="1"/>
        <v>43952</v>
      </c>
      <c r="K176" t="str">
        <f ca="1"/>
        <v>정규직</v>
      </c>
      <c r="L176" t="str">
        <f ca="1"/>
        <v>사무직</v>
      </c>
      <c r="M176" t="str">
        <f ca="1"/>
        <v>퇴직</v>
      </c>
      <c r="N176" t="str">
        <f ca="1"/>
        <v>760202-1058113</v>
      </c>
      <c r="O176">
        <f ca="1"/>
        <v>27792</v>
      </c>
      <c r="P176" t="str">
        <f ca="1"/>
        <v>남</v>
      </c>
      <c r="Q176">
        <f ca="1"/>
        <v>50</v>
      </c>
      <c r="R176">
        <f ca="1"/>
        <v>49</v>
      </c>
      <c r="S176" t="str">
        <f ca="1"/>
        <v>010-4365-8942</v>
      </c>
      <c r="T176" t="str">
        <f ca="1"/>
        <v>서울특별시 중랑구 사가정로 71길 19, 용마한신아파트 1동 1003호</v>
      </c>
      <c r="U176" t="str">
        <f ca="1"/>
        <v>jwkim@neurophet.com</v>
      </c>
    </row>
    <row r="177" spans="1:21" x14ac:dyDescent="0.3">
      <c r="A177">
        <f ca="1"/>
        <v>176</v>
      </c>
      <c r="B177">
        <f ca="1"/>
        <v>23041701</v>
      </c>
      <c r="C177" t="str">
        <f ca="1"/>
        <v>송준수</v>
      </c>
      <c r="D177" t="str">
        <f ca="1"/>
        <v>비즈니스본부</v>
      </c>
      <c r="E177" t="str">
        <f ca="1"/>
        <v>SE팀</v>
      </c>
      <c r="F177" t="str">
        <f ca="1"/>
        <v>SE</v>
      </c>
      <c r="G177" t="str">
        <f ca="1"/>
        <v>Member</v>
      </c>
      <c r="H177" t="str">
        <f ca="1"/>
        <v>멤버</v>
      </c>
      <c r="I177">
        <f ca="1"/>
        <v>45033</v>
      </c>
      <c r="J177">
        <f ca="1"/>
        <v>45124</v>
      </c>
      <c r="K177" t="str">
        <f ca="1"/>
        <v>정규직</v>
      </c>
      <c r="L177" t="str">
        <f ca="1"/>
        <v>사무직</v>
      </c>
      <c r="M177" t="str">
        <f ca="1"/>
        <v>퇴직</v>
      </c>
      <c r="N177" t="str">
        <f ca="1"/>
        <v>970816-1178811</v>
      </c>
      <c r="O177">
        <f ca="1"/>
        <v>35658</v>
      </c>
      <c r="P177" t="str">
        <f ca="1"/>
        <v>남</v>
      </c>
      <c r="Q177">
        <f ca="1"/>
        <v>29</v>
      </c>
      <c r="R177">
        <f ca="1"/>
        <v>27</v>
      </c>
      <c r="S177" t="str">
        <f ca="1"/>
        <v>010-6471-4306</v>
      </c>
      <c r="T177" t="str">
        <f ca="1"/>
        <v>경기도 안양시 동안구 귀인로 79번길 12, 호계2동 (LD범계아파트 101동 1004호)</v>
      </c>
      <c r="U177" t="str">
        <f ca="1"/>
        <v>junsu@neurophet.com</v>
      </c>
    </row>
    <row r="178" spans="1:21" x14ac:dyDescent="0.3">
      <c r="A178">
        <f ca="1"/>
        <v>177</v>
      </c>
      <c r="B178">
        <f ca="1"/>
        <v>23112701</v>
      </c>
      <c r="C178" t="str">
        <f ca="1"/>
        <v>윤소영</v>
      </c>
      <c r="D178" t="str">
        <f ca="1"/>
        <v>연구본부</v>
      </c>
      <c r="E178" t="str">
        <f ca="1"/>
        <v>임상팀</v>
      </c>
      <c r="F178" t="str">
        <f ca="1"/>
        <v>임상시험연구</v>
      </c>
      <c r="G178" t="str">
        <f ca="1"/>
        <v>Member</v>
      </c>
      <c r="H178" t="str">
        <f ca="1"/>
        <v>멤버</v>
      </c>
      <c r="I178">
        <f ca="1"/>
        <v>45257</v>
      </c>
      <c r="J178">
        <f ca="1"/>
        <v>45257</v>
      </c>
      <c r="K178" t="str">
        <f ca="1"/>
        <v>정규직</v>
      </c>
      <c r="L178" t="str">
        <f ca="1"/>
        <v>연구직</v>
      </c>
      <c r="M178" t="str">
        <f ca="1"/>
        <v>퇴직</v>
      </c>
      <c r="N178" t="str">
        <f ca="1"/>
        <v>921121-2125115</v>
      </c>
      <c r="O178">
        <f ca="1"/>
        <v>33929</v>
      </c>
      <c r="P178" t="str">
        <f ca="1"/>
        <v>여</v>
      </c>
      <c r="Q178">
        <f ca="1"/>
        <v>34</v>
      </c>
      <c r="R178">
        <f ca="1"/>
        <v>32</v>
      </c>
      <c r="S178" t="str">
        <f ca="1"/>
        <v>010-8804-4087</v>
      </c>
      <c r="T178" t="str">
        <f ca="1"/>
        <v>서울특별시 금천구 독산로 99길 8, 편안한가 302호</v>
      </c>
      <c r="U178" t="str">
        <f ca="1"/>
        <v>ysy1@neurophet.com</v>
      </c>
    </row>
    <row r="179" spans="1:21" x14ac:dyDescent="0.3">
      <c r="A179">
        <f ca="1"/>
        <v>178</v>
      </c>
      <c r="B179">
        <f ca="1"/>
        <v>21110101</v>
      </c>
      <c r="C179" t="str">
        <f ca="1"/>
        <v>이상엽</v>
      </c>
      <c r="D179" t="str">
        <f ca="1"/>
        <v>비즈니스본부</v>
      </c>
      <c r="E179" t="str">
        <f ca="1"/>
        <v>세일즈팀</v>
      </c>
      <c r="F179" t="str">
        <f ca="1"/>
        <v>영업</v>
      </c>
      <c r="G179" t="str">
        <f ca="1"/>
        <v>Member</v>
      </c>
      <c r="H179" t="str">
        <f ca="1"/>
        <v>멤버</v>
      </c>
      <c r="I179">
        <f ca="1"/>
        <v>44501</v>
      </c>
      <c r="J179">
        <f ca="1"/>
        <v>44501</v>
      </c>
      <c r="K179" t="str">
        <f ca="1"/>
        <v>정규직</v>
      </c>
      <c r="L179" t="str">
        <f ca="1"/>
        <v>사무직</v>
      </c>
      <c r="M179" t="str">
        <f ca="1"/>
        <v>퇴직</v>
      </c>
      <c r="N179" t="str">
        <f ca="1"/>
        <v>851115-1041517</v>
      </c>
      <c r="O179">
        <f ca="1"/>
        <v>31366</v>
      </c>
      <c r="P179" t="str">
        <f ca="1"/>
        <v>남</v>
      </c>
      <c r="Q179">
        <f ca="1"/>
        <v>41</v>
      </c>
      <c r="R179">
        <f ca="1"/>
        <v>39</v>
      </c>
      <c r="S179" t="str">
        <f ca="1"/>
        <v>010-2094-2143</v>
      </c>
      <c r="T179" t="str">
        <f ca="1"/>
        <v>서울특별시 영등포구 선유로 9길 30 문래동 롯데캐슬 103동 806호</v>
      </c>
      <c r="U179" t="str">
        <f ca="1"/>
        <v>sylee@neurophet.com</v>
      </c>
    </row>
    <row r="180" spans="1:21" x14ac:dyDescent="0.3">
      <c r="A180">
        <f ca="1"/>
        <v>179</v>
      </c>
      <c r="B180">
        <f ca="1"/>
        <v>23090402</v>
      </c>
      <c r="C180" t="str">
        <f ca="1"/>
        <v>배진아</v>
      </c>
      <c r="D180" t="str">
        <f ca="1"/>
        <v>연구본부</v>
      </c>
      <c r="E180" t="str">
        <f ca="1"/>
        <v>TechOps팀</v>
      </c>
      <c r="F180" t="str">
        <f ca="1"/>
        <v>레이블링</v>
      </c>
      <c r="G180" t="str">
        <f ca="1"/>
        <v>Temporary</v>
      </c>
      <c r="H180" t="str">
        <f ca="1"/>
        <v>계약직</v>
      </c>
      <c r="I180">
        <f ca="1"/>
        <v>45173</v>
      </c>
      <c r="J180">
        <f ca="1"/>
        <v>45173</v>
      </c>
      <c r="K180" t="str">
        <f ca="1"/>
        <v>계약직</v>
      </c>
      <c r="L180" t="str">
        <f ca="1"/>
        <v>사무직</v>
      </c>
      <c r="M180" t="str">
        <f ca="1"/>
        <v>퇴직</v>
      </c>
      <c r="N180" t="str">
        <f ca="1"/>
        <v>820116-2523011</v>
      </c>
      <c r="O180">
        <f ca="1"/>
        <v>29967</v>
      </c>
      <c r="P180" t="str">
        <f ca="1"/>
        <v>여</v>
      </c>
      <c r="Q180">
        <f ca="1"/>
        <v>44</v>
      </c>
      <c r="R180">
        <f ca="1"/>
        <v>43</v>
      </c>
      <c r="S180" t="str">
        <f ca="1"/>
        <v>010-8914-3339</v>
      </c>
      <c r="T180" t="str">
        <f ca="1"/>
        <v>경기도 화성시 수영로 81번길 4 신창비바패밀리아파트 203동 1202호</v>
      </c>
      <c r="U180" t="str">
        <f ca="1"/>
        <v>jabae@neurophet.com</v>
      </c>
    </row>
    <row r="181" spans="1:21" x14ac:dyDescent="0.3">
      <c r="A181">
        <f ca="1"/>
        <v>180</v>
      </c>
      <c r="B181">
        <f ca="1"/>
        <v>20121401</v>
      </c>
      <c r="C181" t="str">
        <f ca="1"/>
        <v>강지민</v>
      </c>
      <c r="D181" t="str">
        <f ca="1"/>
        <v>연구본부</v>
      </c>
      <c r="E181" t="str">
        <f ca="1"/>
        <v>AR1팀</v>
      </c>
      <c r="F181" t="str">
        <f ca="1"/>
        <v>신경망</v>
      </c>
      <c r="G181" t="str">
        <f ca="1"/>
        <v>Member</v>
      </c>
      <c r="H181" t="str">
        <f ca="1"/>
        <v>멤버</v>
      </c>
      <c r="I181">
        <f ca="1"/>
        <v>44179</v>
      </c>
      <c r="J181">
        <f ca="1"/>
        <v>44179</v>
      </c>
      <c r="K181" t="str">
        <f ca="1"/>
        <v>정규직</v>
      </c>
      <c r="L181" t="str">
        <f ca="1"/>
        <v>연구직</v>
      </c>
      <c r="M181" t="str">
        <f ca="1"/>
        <v>퇴직</v>
      </c>
      <c r="N181" t="str">
        <f ca="1"/>
        <v>021127-4010518</v>
      </c>
      <c r="O181">
        <f ca="1"/>
        <v>37587</v>
      </c>
      <c r="P181" t="str">
        <f ca="1"/>
        <v>여</v>
      </c>
      <c r="Q181">
        <f ca="1"/>
        <v>24</v>
      </c>
      <c r="R181">
        <f ca="1"/>
        <v>22</v>
      </c>
      <c r="S181" t="str">
        <f ca="1"/>
        <v>010-2432-6109</v>
      </c>
      <c r="T181" t="str">
        <f ca="1"/>
        <v xml:space="preserve">서울특별시 동대문구 사가정로23길 20(장안동, 주함해븐빌 5동 401호)    </v>
      </c>
      <c r="U181" t="str">
        <f ca="1"/>
        <v>jiminkang@neurophet.com</v>
      </c>
    </row>
    <row r="182" spans="1:21" x14ac:dyDescent="0.3">
      <c r="A182">
        <f ca="1"/>
        <v>181</v>
      </c>
      <c r="B182">
        <f ca="1"/>
        <v>23120101</v>
      </c>
      <c r="C182" t="str">
        <f ca="1"/>
        <v>장주현</v>
      </c>
      <c r="D182" t="str">
        <f ca="1"/>
        <v>연구본부</v>
      </c>
      <c r="E182" t="str">
        <f ca="1"/>
        <v>TechOps팀</v>
      </c>
      <c r="F182" t="str">
        <f ca="1"/>
        <v>데이터검수</v>
      </c>
      <c r="G182" t="str">
        <f ca="1"/>
        <v>Temporary</v>
      </c>
      <c r="H182" t="str">
        <f ca="1"/>
        <v>계약직</v>
      </c>
      <c r="I182">
        <f ca="1"/>
        <v>45261</v>
      </c>
      <c r="J182">
        <f ca="1"/>
        <v>45261</v>
      </c>
      <c r="K182" t="str">
        <f ca="1"/>
        <v>계약직</v>
      </c>
      <c r="L182" t="str">
        <f ca="1"/>
        <v>사무직</v>
      </c>
      <c r="M182" t="str">
        <f ca="1"/>
        <v>퇴직</v>
      </c>
      <c r="N182" t="str">
        <f ca="1"/>
        <v>881122-2231211</v>
      </c>
      <c r="O182">
        <f ca="1"/>
        <v>32469</v>
      </c>
      <c r="P182" t="str">
        <f ca="1"/>
        <v>여</v>
      </c>
      <c r="Q182">
        <f ca="1"/>
        <v>38</v>
      </c>
      <c r="R182">
        <f ca="1"/>
        <v>36</v>
      </c>
      <c r="S182" t="str">
        <f ca="1"/>
        <v>010-9524-2634</v>
      </c>
      <c r="T182" t="str">
        <f ca="1"/>
        <v>서울특별시 강남구 자곡로202 1035호</v>
      </c>
      <c r="U182" t="str">
        <f ca="1"/>
        <v>juhyun@neurophet.com</v>
      </c>
    </row>
    <row r="183" spans="1:21" x14ac:dyDescent="0.3">
      <c r="A183">
        <f ca="1"/>
        <v>182</v>
      </c>
      <c r="B183">
        <f ca="1"/>
        <v>20032501</v>
      </c>
      <c r="C183" t="str">
        <f ca="1"/>
        <v>이종승A</v>
      </c>
      <c r="D183" t="str">
        <f ca="1"/>
        <v>경영본부</v>
      </c>
      <c r="E183" t="str">
        <f ca="1"/>
        <v>경영본부</v>
      </c>
      <c r="F183" t="str">
        <f ca="1"/>
        <v>경영총괄</v>
      </c>
      <c r="G183" t="str">
        <f ca="1"/>
        <v>COO</v>
      </c>
      <c r="H183" t="str">
        <f ca="1"/>
        <v>C-LEVEL</v>
      </c>
      <c r="I183">
        <f ca="1"/>
        <v>43915</v>
      </c>
      <c r="J183">
        <f ca="1"/>
        <v>43915</v>
      </c>
      <c r="K183" t="str">
        <f ca="1"/>
        <v>정규직</v>
      </c>
      <c r="L183" t="str">
        <f ca="1"/>
        <v>임원</v>
      </c>
      <c r="M183" t="str">
        <f ca="1"/>
        <v>퇴직</v>
      </c>
      <c r="N183" t="str">
        <f ca="1"/>
        <v>761003-1397711</v>
      </c>
      <c r="O183">
        <f ca="1"/>
        <v>28036</v>
      </c>
      <c r="P183" t="str">
        <f ca="1"/>
        <v>남</v>
      </c>
      <c r="Q183">
        <f ca="1"/>
        <v>50</v>
      </c>
      <c r="R183">
        <f ca="1"/>
        <v>48</v>
      </c>
      <c r="S183" t="str">
        <f ca="1"/>
        <v>010-9061-9841</v>
      </c>
      <c r="T183" t="str">
        <f ca="1"/>
        <v>경기도 남양주시 늘을3로 7, 1101동 203호(호평동, 호평마을 현대 I-PARK)</v>
      </c>
      <c r="U183" t="str">
        <f ca="1"/>
        <v>jslee@neurophet.com</v>
      </c>
    </row>
    <row r="184" spans="1:21" x14ac:dyDescent="0.3">
      <c r="A184">
        <f ca="1"/>
        <v>183</v>
      </c>
      <c r="B184">
        <f ca="1"/>
        <v>22010302</v>
      </c>
      <c r="C184" t="str">
        <f ca="1"/>
        <v>차인태</v>
      </c>
      <c r="D184" t="str">
        <f ca="1"/>
        <v>경영본부</v>
      </c>
      <c r="E184" t="str">
        <f ca="1"/>
        <v>커뮤니케이션팀</v>
      </c>
      <c r="F184" t="str">
        <f ca="1"/>
        <v>홍보</v>
      </c>
      <c r="G184" t="str">
        <f ca="1"/>
        <v>Director</v>
      </c>
      <c r="H184" t="str">
        <f ca="1"/>
        <v>팀리드</v>
      </c>
      <c r="I184">
        <f ca="1"/>
        <v>44564</v>
      </c>
      <c r="J184">
        <f ca="1"/>
        <v>44564</v>
      </c>
      <c r="K184" t="str">
        <f ca="1"/>
        <v>정규직</v>
      </c>
      <c r="L184" t="str">
        <f ca="1"/>
        <v>사무직</v>
      </c>
      <c r="M184" t="str">
        <f ca="1"/>
        <v>퇴직</v>
      </c>
      <c r="N184" t="str">
        <f ca="1"/>
        <v>850207-1150922</v>
      </c>
      <c r="O184">
        <f ca="1"/>
        <v>31085</v>
      </c>
      <c r="P184" t="str">
        <f ca="1"/>
        <v>남</v>
      </c>
      <c r="Q184">
        <f ca="1"/>
        <v>41</v>
      </c>
      <c r="R184">
        <f ca="1"/>
        <v>40</v>
      </c>
      <c r="S184" t="str">
        <f ca="1"/>
        <v>010-5117-3311</v>
      </c>
      <c r="T184" t="str">
        <f ca="1"/>
        <v>경기도 용인시 수지구 태봉로 17, 402동 102호</v>
      </c>
      <c r="U184" t="str">
        <f ca="1"/>
        <v>itcha@neurophet.com</v>
      </c>
    </row>
    <row r="185" spans="1:21" x14ac:dyDescent="0.3">
      <c r="A185">
        <f ca="1"/>
        <v>184</v>
      </c>
      <c r="B185">
        <f ca="1"/>
        <v>22020701</v>
      </c>
      <c r="C185" t="str">
        <f ca="1"/>
        <v>임철.</v>
      </c>
      <c r="D185" t="str">
        <f ca="1"/>
        <v>프로덕트본부</v>
      </c>
      <c r="E185" t="str">
        <f ca="1"/>
        <v>PMO실</v>
      </c>
      <c r="F185" t="str">
        <f ca="1"/>
        <v>PMO</v>
      </c>
      <c r="G185" t="str">
        <f ca="1"/>
        <v>Director</v>
      </c>
      <c r="H185" t="str">
        <f ca="1"/>
        <v>실리드</v>
      </c>
      <c r="I185">
        <f ca="1"/>
        <v>44599</v>
      </c>
      <c r="J185">
        <f ca="1"/>
        <v>44599</v>
      </c>
      <c r="K185" t="str">
        <f ca="1"/>
        <v>정규직</v>
      </c>
      <c r="L185" t="str">
        <f ca="1"/>
        <v>연구직</v>
      </c>
      <c r="M185" t="str">
        <f ca="1"/>
        <v>퇴직</v>
      </c>
      <c r="N185" t="str">
        <f ca="1"/>
        <v>751017-1648811</v>
      </c>
      <c r="O185">
        <f ca="1"/>
        <v>27684</v>
      </c>
      <c r="P185" t="str">
        <f ca="1"/>
        <v>남</v>
      </c>
      <c r="Q185">
        <f ca="1"/>
        <v>51</v>
      </c>
      <c r="R185">
        <f ca="1"/>
        <v>49</v>
      </c>
      <c r="S185" t="str">
        <f ca="1"/>
        <v>010-3335-7292</v>
      </c>
      <c r="T185" t="str">
        <f ca="1"/>
        <v>인천광역시 연수구 송도문화로 28번길 81 108동 604호</v>
      </c>
      <c r="U185" t="str">
        <f ca="1"/>
        <v>clim@neurophet.com</v>
      </c>
    </row>
    <row r="186" spans="1:21" x14ac:dyDescent="0.3">
      <c r="A186">
        <f ca="1"/>
        <v>185</v>
      </c>
      <c r="B186">
        <f ca="1"/>
        <v>23103002</v>
      </c>
      <c r="C186" t="str">
        <f ca="1"/>
        <v>주연정</v>
      </c>
      <c r="D186" t="str">
        <f ca="1"/>
        <v>연구본부</v>
      </c>
      <c r="E186" t="str">
        <f ca="1"/>
        <v>TechOps팀</v>
      </c>
      <c r="F186" t="str">
        <f ca="1"/>
        <v>레이블링</v>
      </c>
      <c r="G186" t="str">
        <f ca="1"/>
        <v>Temporary</v>
      </c>
      <c r="H186" t="str">
        <f ca="1"/>
        <v>계약직</v>
      </c>
      <c r="I186">
        <f ca="1"/>
        <v>45229</v>
      </c>
      <c r="J186">
        <f ca="1"/>
        <v>45229</v>
      </c>
      <c r="K186" t="str">
        <f ca="1"/>
        <v>계약직</v>
      </c>
      <c r="L186" t="str">
        <f ca="1"/>
        <v>사무직</v>
      </c>
      <c r="M186" t="str">
        <f ca="1"/>
        <v>퇴직</v>
      </c>
      <c r="N186" t="str">
        <f ca="1"/>
        <v>951206-2267516</v>
      </c>
      <c r="O186">
        <f ca="1"/>
        <v>35039</v>
      </c>
      <c r="P186" t="str">
        <f ca="1"/>
        <v>여</v>
      </c>
      <c r="Q186">
        <f ca="1"/>
        <v>31</v>
      </c>
      <c r="R186">
        <f ca="1"/>
        <v>29</v>
      </c>
      <c r="S186" t="str">
        <f ca="1"/>
        <v>010-7651-4222</v>
      </c>
      <c r="T186" t="str">
        <f ca="1"/>
        <v>강원특별자치도 원주시 남원로606번길 22, 301동 1001호</v>
      </c>
      <c r="U186" t="str">
        <f ca="1"/>
        <v>yeonjeong@neurophet.com</v>
      </c>
    </row>
    <row r="187" spans="1:21" x14ac:dyDescent="0.3">
      <c r="A187">
        <f ca="1"/>
        <v>186</v>
      </c>
      <c r="B187">
        <f ca="1"/>
        <v>21052401</v>
      </c>
      <c r="C187" t="str">
        <f ca="1"/>
        <v>이종승B</v>
      </c>
      <c r="D187" t="str">
        <f ca="1"/>
        <v>연구본부</v>
      </c>
      <c r="E187" t="str">
        <f ca="1"/>
        <v>NE팀</v>
      </c>
      <c r="F187" t="str">
        <f ca="1"/>
        <v>Planning</v>
      </c>
      <c r="G187" t="str">
        <f ca="1"/>
        <v>Lead</v>
      </c>
      <c r="H187" t="str">
        <f ca="1"/>
        <v>팀리드</v>
      </c>
      <c r="I187">
        <f ca="1"/>
        <v>44340</v>
      </c>
      <c r="J187">
        <f ca="1"/>
        <v>44340</v>
      </c>
      <c r="K187" t="str">
        <f ca="1"/>
        <v>정규직</v>
      </c>
      <c r="L187" t="str">
        <f ca="1"/>
        <v>연구직</v>
      </c>
      <c r="M187" t="str">
        <f ca="1"/>
        <v>퇴직</v>
      </c>
      <c r="N187" t="str">
        <f ca="1"/>
        <v>800125-1010613</v>
      </c>
      <c r="O187">
        <f ca="1"/>
        <v>29166</v>
      </c>
      <c r="P187" t="str">
        <f ca="1"/>
        <v>남</v>
      </c>
      <c r="Q187">
        <f ca="1"/>
        <v>47</v>
      </c>
      <c r="R187">
        <f ca="1"/>
        <v>45</v>
      </c>
      <c r="S187" t="str">
        <f ca="1"/>
        <v>010-4118-3489</v>
      </c>
      <c r="T187" t="str">
        <f ca="1"/>
        <v>서울특별시 용산구 한강대로43길 8 104동 301호</v>
      </c>
      <c r="U187" t="str">
        <f ca="1"/>
        <v>jonseunlee@neurophet.com</v>
      </c>
    </row>
    <row r="188" spans="1:21" x14ac:dyDescent="0.3">
      <c r="A188">
        <f ca="1"/>
        <v>187</v>
      </c>
      <c r="B188">
        <f ca="1"/>
        <v>23120401</v>
      </c>
      <c r="C188" t="str">
        <f ca="1"/>
        <v>이상수</v>
      </c>
      <c r="D188" t="str">
        <f ca="1"/>
        <v>비즈니스본부</v>
      </c>
      <c r="E188" t="str">
        <f ca="1"/>
        <v>세일즈팀</v>
      </c>
      <c r="F188" t="str">
        <f ca="1"/>
        <v>영업</v>
      </c>
      <c r="G188" t="str">
        <f ca="1"/>
        <v>Member</v>
      </c>
      <c r="H188" t="str">
        <f ca="1"/>
        <v>멤버</v>
      </c>
      <c r="I188">
        <f ca="1"/>
        <v>45264</v>
      </c>
      <c r="J188">
        <f ca="1"/>
        <v>45264</v>
      </c>
      <c r="K188" t="str">
        <f ca="1"/>
        <v>정규직</v>
      </c>
      <c r="L188" t="str">
        <f ca="1"/>
        <v>사무직</v>
      </c>
      <c r="M188" t="str">
        <f ca="1"/>
        <v>퇴직</v>
      </c>
      <c r="N188" t="str">
        <f ca="1"/>
        <v>871117-1894410</v>
      </c>
      <c r="O188">
        <f ca="1"/>
        <v>32098</v>
      </c>
      <c r="P188" t="str">
        <f ca="1"/>
        <v>남</v>
      </c>
      <c r="Q188">
        <f ca="1"/>
        <v>39</v>
      </c>
      <c r="R188">
        <f ca="1"/>
        <v>37</v>
      </c>
      <c r="S188" t="str">
        <f ca="1"/>
        <v>010-8230-8711</v>
      </c>
      <c r="T188" t="str">
        <f ca="1"/>
        <v>서울특별시 송파구 위례송파로 89, 1503동 204호(포레샤인15단지)</v>
      </c>
      <c r="U188" t="str">
        <f ca="1"/>
        <v>leess@neurophet.com</v>
      </c>
    </row>
    <row r="189" spans="1:21" x14ac:dyDescent="0.3">
      <c r="A189">
        <f ca="1"/>
        <v>188</v>
      </c>
      <c r="B189">
        <f ca="1"/>
        <v>23072001</v>
      </c>
      <c r="C189" t="str">
        <f ca="1"/>
        <v>백연수</v>
      </c>
      <c r="D189" t="str">
        <f ca="1"/>
        <v>프로덕트본부</v>
      </c>
      <c r="E189" t="str">
        <f ca="1"/>
        <v>MWA팀</v>
      </c>
      <c r="F189" t="str">
        <f ca="1"/>
        <v>웹 프론트엔드 개발</v>
      </c>
      <c r="G189" t="str">
        <f ca="1"/>
        <v>Temporary</v>
      </c>
      <c r="H189" t="str">
        <f ca="1"/>
        <v>계약직</v>
      </c>
      <c r="I189">
        <f ca="1"/>
        <v>45127</v>
      </c>
      <c r="J189">
        <f ca="1"/>
        <v>45127</v>
      </c>
      <c r="K189" t="str">
        <f ca="1"/>
        <v>계약직</v>
      </c>
      <c r="L189" t="str">
        <f ca="1"/>
        <v>사무직</v>
      </c>
      <c r="M189" t="str">
        <f ca="1"/>
        <v>퇴직</v>
      </c>
      <c r="N189" t="str">
        <f ca="1"/>
        <v>000825-4409939</v>
      </c>
      <c r="O189">
        <f ca="1"/>
        <v>36763</v>
      </c>
      <c r="P189" t="str">
        <f ca="1"/>
        <v>여</v>
      </c>
      <c r="Q189">
        <f ca="1"/>
        <v>26</v>
      </c>
      <c r="R189">
        <f ca="1"/>
        <v>24</v>
      </c>
      <c r="S189" t="str">
        <f ca="1"/>
        <v>010-5174-5053</v>
      </c>
      <c r="T189" t="str">
        <f ca="1"/>
        <v>경기도 수원시 장안구 창훈로 30 107동 403호</v>
      </c>
      <c r="U189" t="str">
        <f ca="1"/>
        <v>yeonsu@neurophet.com</v>
      </c>
    </row>
    <row r="190" spans="1:21" x14ac:dyDescent="0.3">
      <c r="A190">
        <f ca="1"/>
        <v>189</v>
      </c>
      <c r="B190">
        <f ca="1"/>
        <v>23103001</v>
      </c>
      <c r="C190" t="str">
        <f ca="1"/>
        <v>김보경</v>
      </c>
      <c r="D190" t="str">
        <f ca="1"/>
        <v>연구본부</v>
      </c>
      <c r="E190" t="str">
        <f ca="1"/>
        <v>TechOps팀</v>
      </c>
      <c r="F190" t="str">
        <f ca="1"/>
        <v>레이블링</v>
      </c>
      <c r="G190" t="str">
        <f ca="1"/>
        <v>Temporary</v>
      </c>
      <c r="H190" t="str">
        <f ca="1"/>
        <v>계약직</v>
      </c>
      <c r="I190">
        <f ca="1"/>
        <v>45229</v>
      </c>
      <c r="J190">
        <f ca="1"/>
        <v>45229</v>
      </c>
      <c r="K190" t="str">
        <f ca="1"/>
        <v>계약직</v>
      </c>
      <c r="L190" t="str">
        <f ca="1"/>
        <v>사무직</v>
      </c>
      <c r="M190" t="str">
        <f ca="1"/>
        <v>퇴직</v>
      </c>
      <c r="N190" t="str">
        <f ca="1"/>
        <v>951018-2951021</v>
      </c>
      <c r="O190">
        <f ca="1"/>
        <v>34990</v>
      </c>
      <c r="P190" t="str">
        <f ca="1"/>
        <v>여</v>
      </c>
      <c r="Q190">
        <f ca="1"/>
        <v>31</v>
      </c>
      <c r="R190">
        <f ca="1"/>
        <v>29</v>
      </c>
      <c r="S190" t="str">
        <f ca="1"/>
        <v>010-9348-2861</v>
      </c>
      <c r="T190" t="str">
        <f ca="1"/>
        <v>강원특별자치도 원주시 버들만이길 16, 201호</v>
      </c>
      <c r="U190" t="str">
        <f ca="1"/>
        <v>bokyung@neurophet.com</v>
      </c>
    </row>
    <row r="191" spans="1:21" x14ac:dyDescent="0.3">
      <c r="A191">
        <f ca="1"/>
        <v>190</v>
      </c>
      <c r="B191">
        <f ca="1"/>
        <v>23032701</v>
      </c>
      <c r="C191" t="str">
        <f ca="1"/>
        <v>조세딘</v>
      </c>
      <c r="D191" t="str">
        <f ca="1"/>
        <v>연구본부</v>
      </c>
      <c r="E191" t="str">
        <f ca="1"/>
        <v>임상연구팀</v>
      </c>
      <c r="F191" t="str">
        <f ca="1"/>
        <v>임상시험연구</v>
      </c>
      <c r="G191" t="str">
        <f ca="1"/>
        <v>Member</v>
      </c>
      <c r="H191" t="str">
        <f ca="1"/>
        <v>멤버</v>
      </c>
      <c r="I191">
        <f ca="1"/>
        <v>45012</v>
      </c>
      <c r="J191">
        <f ca="1"/>
        <v>45012</v>
      </c>
      <c r="K191" t="str">
        <f ca="1"/>
        <v>정규직</v>
      </c>
      <c r="L191" t="str">
        <f ca="1"/>
        <v>연구직</v>
      </c>
      <c r="M191" t="str">
        <f ca="1"/>
        <v>퇴직</v>
      </c>
      <c r="N191" t="str">
        <f ca="1"/>
        <v>950504-6200025</v>
      </c>
      <c r="O191">
        <f ca="1"/>
        <v>34823</v>
      </c>
      <c r="P191" t="str">
        <f ca="1"/>
        <v>여</v>
      </c>
      <c r="Q191">
        <f ca="1"/>
        <v>31</v>
      </c>
      <c r="R191">
        <f ca="1"/>
        <v>29</v>
      </c>
      <c r="S191" t="str">
        <f ca="1"/>
        <v>010-5893-2570</v>
      </c>
      <c r="T191" t="str">
        <f ca="1"/>
        <v xml:space="preserve">서울특별시 성북구 안암동 2가 94-27 지하 B호 </v>
      </c>
      <c r="U191" t="str">
        <f ca="1"/>
        <v>jhosedyn@neurophet.com</v>
      </c>
    </row>
    <row r="192" spans="1:21" x14ac:dyDescent="0.3">
      <c r="A192">
        <f ca="1"/>
        <v>191</v>
      </c>
      <c r="B192">
        <f ca="1"/>
        <v>23102301</v>
      </c>
      <c r="C192" t="str">
        <f ca="1"/>
        <v>손조은</v>
      </c>
      <c r="D192" t="str">
        <f ca="1"/>
        <v>프로덕트본부</v>
      </c>
      <c r="E192" t="str">
        <f ca="1"/>
        <v>QA팀</v>
      </c>
      <c r="F192" t="str">
        <f ca="1"/>
        <v>QA</v>
      </c>
      <c r="G192" t="str">
        <f ca="1"/>
        <v>Member</v>
      </c>
      <c r="H192" t="str">
        <f ca="1"/>
        <v>멤버</v>
      </c>
      <c r="I192">
        <f ca="1"/>
        <v>45222</v>
      </c>
      <c r="J192">
        <f ca="1"/>
        <v>45222</v>
      </c>
      <c r="K192" t="str">
        <f ca="1"/>
        <v>정규직</v>
      </c>
      <c r="L192" t="str">
        <f ca="1"/>
        <v>연구직</v>
      </c>
      <c r="M192" t="str">
        <f ca="1"/>
        <v>퇴직</v>
      </c>
      <c r="N192" t="str">
        <f ca="1"/>
        <v>890414-1059129</v>
      </c>
      <c r="O192">
        <f ca="1"/>
        <v>32612</v>
      </c>
      <c r="P192" t="str">
        <f ca="1"/>
        <v>남</v>
      </c>
      <c r="Q192">
        <f ca="1"/>
        <v>37</v>
      </c>
      <c r="R192">
        <f ca="1"/>
        <v>35</v>
      </c>
      <c r="S192" t="str">
        <f ca="1"/>
        <v>010-3249-8250</v>
      </c>
      <c r="T192" t="str">
        <f ca="1"/>
        <v>경기도 부천시 양지남로68번길 25 203동 204호</v>
      </c>
      <c r="U192" t="str">
        <f ca="1"/>
        <v>je.son@neurophet.com</v>
      </c>
    </row>
    <row r="193" spans="1:21" x14ac:dyDescent="0.3">
      <c r="A193">
        <f ca="1"/>
        <v>192</v>
      </c>
      <c r="B193">
        <f ca="1"/>
        <v>21072602</v>
      </c>
      <c r="C193" t="str">
        <f ca="1"/>
        <v>윤신혜</v>
      </c>
      <c r="D193" t="str">
        <f ca="1"/>
        <v>프로덕트본부</v>
      </c>
      <c r="E193" t="str">
        <f ca="1"/>
        <v>PMO실</v>
      </c>
      <c r="F193" t="str">
        <f ca="1"/>
        <v>보안</v>
      </c>
      <c r="G193" t="str">
        <f ca="1"/>
        <v>Member</v>
      </c>
      <c r="H193" t="str">
        <f ca="1"/>
        <v>멤버</v>
      </c>
      <c r="I193">
        <f ca="1"/>
        <v>44403</v>
      </c>
      <c r="J193">
        <f ca="1"/>
        <v>44403</v>
      </c>
      <c r="K193" t="str">
        <f ca="1"/>
        <v>정규직</v>
      </c>
      <c r="L193" t="str">
        <f ca="1"/>
        <v>연구직</v>
      </c>
      <c r="M193" t="str">
        <f ca="1"/>
        <v>퇴직</v>
      </c>
      <c r="N193" t="str">
        <f ca="1"/>
        <v>950612-2012414</v>
      </c>
      <c r="O193">
        <f ca="1"/>
        <v>34862</v>
      </c>
      <c r="P193" t="str">
        <f ca="1"/>
        <v>여</v>
      </c>
      <c r="Q193">
        <f ca="1"/>
        <v>31</v>
      </c>
      <c r="R193">
        <f ca="1"/>
        <v>29</v>
      </c>
      <c r="S193" t="str">
        <f ca="1"/>
        <v>010-3015-3623</v>
      </c>
      <c r="T193" t="str">
        <f ca="1"/>
        <v>서울특별시 관악구 조원로 12길 8, 301호</v>
      </c>
      <c r="U193" t="str">
        <f ca="1"/>
        <v>shinhye@neurophet.com</v>
      </c>
    </row>
    <row r="194" spans="1:21" x14ac:dyDescent="0.3">
      <c r="A194">
        <f ca="1"/>
        <v>193</v>
      </c>
      <c r="B194">
        <f ca="1"/>
        <v>23061201</v>
      </c>
      <c r="C194" t="str">
        <f ca="1"/>
        <v>노해명</v>
      </c>
      <c r="D194" t="str">
        <f ca="1"/>
        <v>연구본부</v>
      </c>
      <c r="E194" t="str">
        <f ca="1"/>
        <v>임상연구팀</v>
      </c>
      <c r="F194" t="str">
        <f ca="1"/>
        <v>임상시험 모니터링</v>
      </c>
      <c r="G194" t="str">
        <f ca="1"/>
        <v>Temporary</v>
      </c>
      <c r="H194" t="str">
        <f ca="1"/>
        <v>계약직</v>
      </c>
      <c r="I194">
        <f ca="1"/>
        <v>45089</v>
      </c>
      <c r="J194">
        <f ca="1"/>
        <v>45089</v>
      </c>
      <c r="K194" t="str">
        <f ca="1"/>
        <v>계약직</v>
      </c>
      <c r="L194" t="str">
        <f ca="1"/>
        <v>사무직</v>
      </c>
      <c r="M194" t="str">
        <f ca="1"/>
        <v>퇴직</v>
      </c>
      <c r="N194" t="str">
        <f ca="1"/>
        <v>920225-1067710</v>
      </c>
      <c r="O194">
        <f ca="1"/>
        <v>33659</v>
      </c>
      <c r="P194" t="str">
        <f ca="1"/>
        <v>남</v>
      </c>
      <c r="Q194">
        <f ca="1"/>
        <v>34</v>
      </c>
      <c r="R194">
        <f ca="1"/>
        <v>33</v>
      </c>
      <c r="S194" t="str">
        <f ca="1"/>
        <v>010-2246-7700</v>
      </c>
      <c r="T194" t="str">
        <f ca="1"/>
        <v>서울특별시 영등포구 도영로 16 A동 618호</v>
      </c>
      <c r="U194" t="str">
        <f ca="1"/>
        <v>haemyoung@neurophet.com</v>
      </c>
    </row>
    <row r="195" spans="1:21" x14ac:dyDescent="0.3">
      <c r="A195">
        <f ca="1"/>
        <v>194</v>
      </c>
      <c r="B195">
        <f ca="1"/>
        <v>19012101</v>
      </c>
      <c r="C195" t="str">
        <f ca="1"/>
        <v>유보름</v>
      </c>
      <c r="D195" t="str">
        <f ca="1"/>
        <v>프로덕트본부</v>
      </c>
      <c r="E195" t="str">
        <f ca="1"/>
        <v>RA팀</v>
      </c>
      <c r="F195" t="str">
        <f ca="1"/>
        <v>RA</v>
      </c>
      <c r="G195" t="str">
        <f ca="1"/>
        <v>Lead</v>
      </c>
      <c r="H195" t="str">
        <f ca="1"/>
        <v>팀리드</v>
      </c>
      <c r="I195">
        <f ca="1"/>
        <v>43486</v>
      </c>
      <c r="J195">
        <f ca="1"/>
        <v>43486</v>
      </c>
      <c r="K195" t="str">
        <f ca="1"/>
        <v>정규직</v>
      </c>
      <c r="L195" t="str">
        <f ca="1"/>
        <v>연구직</v>
      </c>
      <c r="M195" t="str">
        <f ca="1"/>
        <v>퇴직</v>
      </c>
      <c r="N195" t="str">
        <f ca="1"/>
        <v>910922-2205429</v>
      </c>
      <c r="O195">
        <f ca="1"/>
        <v>33503</v>
      </c>
      <c r="P195" t="str">
        <f ca="1"/>
        <v>여</v>
      </c>
      <c r="Q195">
        <f ca="1"/>
        <v>35</v>
      </c>
      <c r="R195">
        <f ca="1"/>
        <v>33</v>
      </c>
      <c r="S195" t="str">
        <f ca="1"/>
        <v>010-3135-8424</v>
      </c>
      <c r="T195" t="str">
        <f ca="1"/>
        <v>서울특별시 동작구 국사봉1길 54-7 201호</v>
      </c>
      <c r="U195" t="str">
        <f ca="1"/>
        <v>bryoo@neurophet.com</v>
      </c>
    </row>
    <row r="196" spans="1:21" x14ac:dyDescent="0.3">
      <c r="A196">
        <f ca="1"/>
        <v>195</v>
      </c>
      <c r="B196">
        <f ca="1"/>
        <v>21030802</v>
      </c>
      <c r="C196" t="str">
        <f ca="1"/>
        <v>한성희</v>
      </c>
      <c r="D196" t="str">
        <f ca="1"/>
        <v>비즈니스본부</v>
      </c>
      <c r="E196" t="str">
        <f ca="1"/>
        <v>세일즈팀</v>
      </c>
      <c r="F196" t="str">
        <f ca="1"/>
        <v>영업</v>
      </c>
      <c r="G196" t="str">
        <f ca="1"/>
        <v>Lead</v>
      </c>
      <c r="H196" t="str">
        <f ca="1"/>
        <v>팀리드</v>
      </c>
      <c r="I196">
        <f ca="1"/>
        <v>44263</v>
      </c>
      <c r="J196">
        <f ca="1"/>
        <v>44263</v>
      </c>
      <c r="K196" t="str">
        <f ca="1"/>
        <v>정규직</v>
      </c>
      <c r="L196" t="str">
        <f ca="1"/>
        <v>사무직</v>
      </c>
      <c r="M196" t="str">
        <f ca="1"/>
        <v>퇴직</v>
      </c>
      <c r="N196" t="str">
        <f ca="1"/>
        <v>820902-1167711</v>
      </c>
      <c r="O196">
        <f ca="1"/>
        <v>30196</v>
      </c>
      <c r="P196" t="str">
        <f ca="1"/>
        <v>남</v>
      </c>
      <c r="Q196">
        <f ca="1"/>
        <v>44</v>
      </c>
      <c r="R196">
        <f ca="1"/>
        <v>42</v>
      </c>
      <c r="S196" t="str">
        <f ca="1"/>
        <v>010-2230-2052</v>
      </c>
      <c r="T196" t="str">
        <f ca="1"/>
        <v>경기도 오산시 수청로 79-12, 302호</v>
      </c>
      <c r="U196" t="str">
        <f ca="1"/>
        <v>shhan@neurophet.com</v>
      </c>
    </row>
    <row r="197" spans="1:21" x14ac:dyDescent="0.3">
      <c r="A197">
        <f ca="1"/>
        <v>196</v>
      </c>
      <c r="B197">
        <f ca="1"/>
        <v>23041001</v>
      </c>
      <c r="C197" t="str">
        <f ca="1"/>
        <v>김의석</v>
      </c>
      <c r="D197" t="str">
        <f ca="1"/>
        <v>연구본부</v>
      </c>
      <c r="E197" t="str">
        <f ca="1"/>
        <v>TechOps팀</v>
      </c>
      <c r="F197" t="str">
        <f ca="1"/>
        <v>데이터검수</v>
      </c>
      <c r="G197" t="str">
        <f ca="1"/>
        <v>Temporary</v>
      </c>
      <c r="H197" t="str">
        <f ca="1"/>
        <v>계약직</v>
      </c>
      <c r="I197">
        <f ca="1"/>
        <v>45026</v>
      </c>
      <c r="J197">
        <f ca="1"/>
        <v>45026</v>
      </c>
      <c r="K197" t="str">
        <f ca="1"/>
        <v>계약직</v>
      </c>
      <c r="L197" t="str">
        <f ca="1"/>
        <v>사무직</v>
      </c>
      <c r="M197" t="str">
        <f ca="1"/>
        <v>퇴직</v>
      </c>
      <c r="N197" t="str">
        <f ca="1"/>
        <v>940701-1020623</v>
      </c>
      <c r="O197">
        <f ca="1"/>
        <v>34516</v>
      </c>
      <c r="P197" t="str">
        <f ca="1"/>
        <v>남</v>
      </c>
      <c r="Q197">
        <f ca="1"/>
        <v>32</v>
      </c>
      <c r="R197">
        <f ca="1"/>
        <v>30</v>
      </c>
      <c r="S197" t="str">
        <f ca="1"/>
        <v>010-7603-6351</v>
      </c>
      <c r="T197" t="str">
        <f ca="1"/>
        <v>경기도 양주시 옥정동로 4길 더 파크포레 태영 2028동 2202호</v>
      </c>
      <c r="U197" t="str">
        <f ca="1"/>
        <v>uiseok@neurophet.com</v>
      </c>
    </row>
    <row r="198" spans="1:21" x14ac:dyDescent="0.3">
      <c r="A198">
        <f ca="1"/>
        <v>197</v>
      </c>
      <c r="B198">
        <f ca="1"/>
        <v>23012502</v>
      </c>
      <c r="C198" t="str">
        <f ca="1"/>
        <v>최효준</v>
      </c>
      <c r="D198" t="str">
        <f ca="1"/>
        <v>연구본부</v>
      </c>
      <c r="E198" t="str">
        <f ca="1"/>
        <v>연구기획팀</v>
      </c>
      <c r="F198" t="str">
        <f ca="1"/>
        <v>정부과제</v>
      </c>
      <c r="G198" t="str">
        <f ca="1"/>
        <v>Member</v>
      </c>
      <c r="H198" t="str">
        <f ca="1"/>
        <v>멤버</v>
      </c>
      <c r="I198">
        <f ca="1"/>
        <v>44951</v>
      </c>
      <c r="J198">
        <f ca="1"/>
        <v>44951</v>
      </c>
      <c r="K198" t="str">
        <f ca="1"/>
        <v>정규직</v>
      </c>
      <c r="L198" t="str">
        <f ca="1"/>
        <v>사무직</v>
      </c>
      <c r="M198" t="str">
        <f ca="1"/>
        <v>퇴직</v>
      </c>
      <c r="N198" t="str">
        <f ca="1"/>
        <v>830428-1081318</v>
      </c>
      <c r="O198">
        <f ca="1"/>
        <v>30434</v>
      </c>
      <c r="P198" t="str">
        <f ca="1"/>
        <v>남</v>
      </c>
      <c r="Q198">
        <f ca="1"/>
        <v>43</v>
      </c>
      <c r="R198">
        <f ca="1"/>
        <v>41</v>
      </c>
      <c r="S198" t="str">
        <f ca="1"/>
        <v>010-8304-9922</v>
      </c>
      <c r="T198" t="str">
        <f ca="1"/>
        <v>서울특별시 양천구 중앙로 29길 61 신정뉴타운롯데캐슬 108동 1004호</v>
      </c>
      <c r="U198" t="str">
        <f ca="1"/>
        <v>hyo@neurophet.com</v>
      </c>
    </row>
    <row r="199" spans="1:21" x14ac:dyDescent="0.3">
      <c r="A199">
        <f ca="1"/>
        <v>198</v>
      </c>
      <c r="B199">
        <f ca="1"/>
        <v>23011602</v>
      </c>
      <c r="C199" t="str">
        <f ca="1"/>
        <v>이정호</v>
      </c>
      <c r="D199" t="str">
        <f ca="1"/>
        <v>연구본부</v>
      </c>
      <c r="E199" t="str">
        <f ca="1"/>
        <v>TechOps팀</v>
      </c>
      <c r="F199" t="str">
        <f ca="1"/>
        <v>데이터검수</v>
      </c>
      <c r="G199" t="str">
        <f ca="1"/>
        <v>Temporary</v>
      </c>
      <c r="H199" t="str">
        <f ca="1"/>
        <v>계약직</v>
      </c>
      <c r="I199">
        <f ca="1"/>
        <v>44942</v>
      </c>
      <c r="J199">
        <f ca="1"/>
        <v>44942</v>
      </c>
      <c r="K199" t="str">
        <f ca="1"/>
        <v>계약직</v>
      </c>
      <c r="L199" t="str">
        <f ca="1"/>
        <v>사무직</v>
      </c>
      <c r="M199" t="str">
        <f ca="1"/>
        <v>퇴직</v>
      </c>
      <c r="N199" t="str">
        <f ca="1"/>
        <v>980523-1203627</v>
      </c>
      <c r="O199">
        <f ca="1"/>
        <v>35938</v>
      </c>
      <c r="P199" t="str">
        <f ca="1"/>
        <v>남</v>
      </c>
      <c r="Q199">
        <f ca="1"/>
        <v>28</v>
      </c>
      <c r="R199">
        <f ca="1"/>
        <v>26</v>
      </c>
      <c r="S199" t="str">
        <f ca="1"/>
        <v>010-5067-8854</v>
      </c>
      <c r="T199" t="str">
        <f ca="1"/>
        <v>경기도 남양주시 화도읍 녹촌리 녹촌두산위브아파트 101-204</v>
      </c>
      <c r="U199" t="str">
        <f ca="1"/>
        <v>jungho@neurophet.com</v>
      </c>
    </row>
    <row r="200" spans="1:21" x14ac:dyDescent="0.3">
      <c r="A200">
        <f ca="1"/>
        <v>199</v>
      </c>
      <c r="B200">
        <f ca="1"/>
        <v>23040303</v>
      </c>
      <c r="C200" t="str">
        <f ca="1"/>
        <v>김연화</v>
      </c>
      <c r="D200" t="str">
        <f ca="1"/>
        <v>연구본부</v>
      </c>
      <c r="E200" t="str">
        <f ca="1"/>
        <v>TechOps팀</v>
      </c>
      <c r="F200" t="str">
        <f ca="1"/>
        <v>데이터검수</v>
      </c>
      <c r="G200" t="str">
        <f ca="1"/>
        <v>Temporary</v>
      </c>
      <c r="H200" t="str">
        <f ca="1"/>
        <v>계약직</v>
      </c>
      <c r="I200">
        <f ca="1"/>
        <v>45019</v>
      </c>
      <c r="J200">
        <f ca="1"/>
        <v>45019</v>
      </c>
      <c r="K200" t="str">
        <f ca="1"/>
        <v>계약직</v>
      </c>
      <c r="L200" t="str">
        <f ca="1"/>
        <v>사무직</v>
      </c>
      <c r="M200" t="str">
        <f ca="1"/>
        <v>퇴직</v>
      </c>
      <c r="N200" t="str">
        <f ca="1"/>
        <v>001110-4163112</v>
      </c>
      <c r="O200">
        <f ca="1"/>
        <v>36840</v>
      </c>
      <c r="P200" t="str">
        <f ca="1"/>
        <v>여</v>
      </c>
      <c r="Q200">
        <f ca="1"/>
        <v>26</v>
      </c>
      <c r="R200">
        <f ca="1"/>
        <v>24</v>
      </c>
      <c r="S200" t="str">
        <f ca="1"/>
        <v>010-8509-9124</v>
      </c>
      <c r="T200" t="str">
        <f ca="1"/>
        <v>경기도 수원시 권선구 덕영대로1323번길 26-31 221동 902호</v>
      </c>
      <c r="U200" t="str">
        <f ca="1"/>
        <v>yeonhwa@neurophet.com</v>
      </c>
    </row>
    <row r="201" spans="1:21" x14ac:dyDescent="0.3">
      <c r="A201">
        <f ca="1"/>
        <v>200</v>
      </c>
      <c r="B201">
        <f ca="1"/>
        <v>23041002</v>
      </c>
      <c r="C201" t="str">
        <f ca="1"/>
        <v>이민해</v>
      </c>
      <c r="D201" t="str">
        <f ca="1"/>
        <v>연구본부</v>
      </c>
      <c r="E201" t="str">
        <f ca="1"/>
        <v>TechOps팀</v>
      </c>
      <c r="F201" t="str">
        <f ca="1"/>
        <v>데이터검수</v>
      </c>
      <c r="G201" t="str">
        <f ca="1"/>
        <v>Temporary</v>
      </c>
      <c r="H201" t="str">
        <f ca="1"/>
        <v>계약직</v>
      </c>
      <c r="I201">
        <f ca="1"/>
        <v>45026</v>
      </c>
      <c r="J201">
        <f ca="1"/>
        <v>45026</v>
      </c>
      <c r="K201" t="str">
        <f ca="1"/>
        <v>계약직</v>
      </c>
      <c r="L201" t="str">
        <f ca="1"/>
        <v>사무직</v>
      </c>
      <c r="M201" t="str">
        <f ca="1"/>
        <v>퇴직</v>
      </c>
      <c r="N201" t="str">
        <f ca="1"/>
        <v>980510-1017812</v>
      </c>
      <c r="O201">
        <f ca="1"/>
        <v>35925</v>
      </c>
      <c r="P201" t="str">
        <f ca="1"/>
        <v>남</v>
      </c>
      <c r="Q201">
        <f ca="1"/>
        <v>28</v>
      </c>
      <c r="R201">
        <f ca="1"/>
        <v>26</v>
      </c>
      <c r="S201" t="str">
        <f ca="1"/>
        <v>010-4040-5782</v>
      </c>
      <c r="T201" t="str">
        <f ca="1"/>
        <v>경기도 성남시 남문로 86번길 18-2 302호 (영흥빌라)</v>
      </c>
      <c r="U201" t="str">
        <f ca="1"/>
        <v>minhae@neurophet.com</v>
      </c>
    </row>
    <row r="202" spans="1:21" x14ac:dyDescent="0.3">
      <c r="A202">
        <f ca="1"/>
        <v>201</v>
      </c>
      <c r="B202">
        <f ca="1"/>
        <v>23041201</v>
      </c>
      <c r="C202" t="str">
        <f ca="1"/>
        <v>정진환</v>
      </c>
      <c r="D202" t="str">
        <f ca="1"/>
        <v>연구본부</v>
      </c>
      <c r="E202" t="str">
        <f ca="1"/>
        <v>TechOps팀</v>
      </c>
      <c r="F202" t="str">
        <f ca="1"/>
        <v>데이터검수</v>
      </c>
      <c r="G202" t="str">
        <f ca="1"/>
        <v>Temporary</v>
      </c>
      <c r="H202" t="str">
        <f ca="1"/>
        <v>계약직</v>
      </c>
      <c r="I202">
        <f ca="1"/>
        <v>45028</v>
      </c>
      <c r="J202">
        <f ca="1"/>
        <v>45028</v>
      </c>
      <c r="K202" t="str">
        <f ca="1"/>
        <v>계약직</v>
      </c>
      <c r="L202" t="str">
        <f ca="1"/>
        <v>사무직</v>
      </c>
      <c r="M202" t="str">
        <f ca="1"/>
        <v>퇴직</v>
      </c>
      <c r="N202" t="str">
        <f ca="1"/>
        <v>960101-1074513</v>
      </c>
      <c r="O202">
        <f ca="1"/>
        <v>35065</v>
      </c>
      <c r="P202" t="str">
        <f ca="1"/>
        <v>남</v>
      </c>
      <c r="Q202">
        <f ca="1"/>
        <v>30</v>
      </c>
      <c r="R202">
        <f ca="1"/>
        <v>29</v>
      </c>
      <c r="S202" t="str">
        <f ca="1"/>
        <v>010-2500-1223</v>
      </c>
      <c r="T202" t="str">
        <f ca="1"/>
        <v>서울특별시 서초구 잠원로 14길 32 103동 301호</v>
      </c>
      <c r="U202" t="str">
        <f ca="1"/>
        <v>jinhwan@neurophet.com</v>
      </c>
    </row>
    <row r="203" spans="1:21" x14ac:dyDescent="0.3">
      <c r="A203">
        <f ca="1"/>
        <v>202</v>
      </c>
      <c r="B203">
        <f ca="1"/>
        <v>20030107</v>
      </c>
      <c r="C203" t="str">
        <f ca="1"/>
        <v>용정현</v>
      </c>
      <c r="D203" t="str">
        <f ca="1"/>
        <v>연구본부</v>
      </c>
      <c r="E203" t="str">
        <f ca="1"/>
        <v>TechOps팀</v>
      </c>
      <c r="F203" t="str">
        <f ca="1"/>
        <v>데이터검수</v>
      </c>
      <c r="G203" t="str">
        <f ca="1"/>
        <v>Lead</v>
      </c>
      <c r="H203" t="str">
        <f ca="1"/>
        <v>팀리드</v>
      </c>
      <c r="I203">
        <f ca="1"/>
        <v>43891</v>
      </c>
      <c r="J203">
        <f ca="1"/>
        <v>43891</v>
      </c>
      <c r="K203" t="str">
        <f ca="1"/>
        <v>정규직</v>
      </c>
      <c r="L203" t="str">
        <f ca="1"/>
        <v>연구직</v>
      </c>
      <c r="M203" t="str">
        <f ca="1"/>
        <v>퇴직</v>
      </c>
      <c r="N203" t="str">
        <f ca="1"/>
        <v>940721-1047112</v>
      </c>
      <c r="O203">
        <f ca="1"/>
        <v>34536</v>
      </c>
      <c r="P203" t="str">
        <f ca="1"/>
        <v>남</v>
      </c>
      <c r="Q203">
        <f ca="1"/>
        <v>32</v>
      </c>
      <c r="R203">
        <f ca="1"/>
        <v>30</v>
      </c>
      <c r="S203" t="str">
        <f ca="1"/>
        <v>010-2274-5871</v>
      </c>
      <c r="T203" t="str">
        <f ca="1"/>
        <v>서울특별시 강남구 삼성로69길 41, 102호</v>
      </c>
      <c r="U203" t="str">
        <f ca="1"/>
        <v>yong@neurophet.com</v>
      </c>
    </row>
    <row r="204" spans="1:21" x14ac:dyDescent="0.3">
      <c r="A204">
        <f ca="1"/>
        <v>203</v>
      </c>
      <c r="B204">
        <f ca="1"/>
        <v>21083003</v>
      </c>
      <c r="C204" t="str">
        <f ca="1"/>
        <v>정유진</v>
      </c>
      <c r="D204" t="str">
        <f ca="1"/>
        <v>연구본부</v>
      </c>
      <c r="E204" t="str">
        <f ca="1"/>
        <v>TechOps팀</v>
      </c>
      <c r="F204" t="str">
        <f ca="1"/>
        <v>데이터&amp;레이블링</v>
      </c>
      <c r="G204" t="str">
        <f ca="1"/>
        <v>Member</v>
      </c>
      <c r="H204" t="str">
        <f ca="1"/>
        <v>멤버</v>
      </c>
      <c r="I204">
        <f ca="1"/>
        <v>44560</v>
      </c>
      <c r="J204">
        <f ca="1"/>
        <v>44560</v>
      </c>
      <c r="K204" t="str">
        <f ca="1"/>
        <v>정규직</v>
      </c>
      <c r="L204" t="str">
        <f ca="1"/>
        <v>연구직</v>
      </c>
      <c r="M204" t="str">
        <f ca="1"/>
        <v>퇴직</v>
      </c>
      <c r="N204" t="str">
        <f ca="1"/>
        <v>991229-2249610</v>
      </c>
      <c r="O204">
        <f ca="1"/>
        <v>36523</v>
      </c>
      <c r="P204" t="str">
        <f ca="1"/>
        <v>여</v>
      </c>
      <c r="Q204">
        <f ca="1"/>
        <v>27</v>
      </c>
      <c r="R204">
        <f ca="1"/>
        <v>25</v>
      </c>
      <c r="S204" t="str">
        <f ca="1"/>
        <v>010-4551-3995</v>
      </c>
      <c r="T204" t="str">
        <f ca="1"/>
        <v>경기도 용인시 기흥구 신정로25 신흥덕롯데캐슬레이시티 104동402호</v>
      </c>
      <c r="U204" t="str">
        <f ca="1"/>
        <v>yujin@neurophet.com</v>
      </c>
    </row>
    <row r="205" spans="1:21" x14ac:dyDescent="0.3">
      <c r="A205">
        <f ca="1"/>
        <v>204</v>
      </c>
      <c r="B205">
        <f ca="1"/>
        <v>23030202</v>
      </c>
      <c r="C205" t="str">
        <f ca="1"/>
        <v>박상진</v>
      </c>
      <c r="D205" t="str">
        <f ca="1"/>
        <v>연구본부</v>
      </c>
      <c r="E205" t="str">
        <f ca="1"/>
        <v>TechOps팀</v>
      </c>
      <c r="F205" t="str">
        <f ca="1"/>
        <v>데이터검수</v>
      </c>
      <c r="G205" t="str">
        <f ca="1"/>
        <v>Temporary</v>
      </c>
      <c r="H205" t="str">
        <f ca="1"/>
        <v>계약직</v>
      </c>
      <c r="I205">
        <f ca="1"/>
        <v>44987</v>
      </c>
      <c r="J205">
        <f ca="1"/>
        <v>44987</v>
      </c>
      <c r="K205" t="str">
        <f ca="1"/>
        <v>계약직</v>
      </c>
      <c r="L205" t="str">
        <f ca="1"/>
        <v>사무직</v>
      </c>
      <c r="M205" t="str">
        <f ca="1"/>
        <v>퇴직</v>
      </c>
      <c r="N205" t="str">
        <f ca="1"/>
        <v>990610-1249113</v>
      </c>
      <c r="O205">
        <f ca="1"/>
        <v>36321</v>
      </c>
      <c r="P205" t="str">
        <f ca="1"/>
        <v>남</v>
      </c>
      <c r="Q205">
        <f ca="1"/>
        <v>27</v>
      </c>
      <c r="R205">
        <f ca="1"/>
        <v>25</v>
      </c>
      <c r="S205" t="str">
        <f ca="1"/>
        <v>010-6713-0786</v>
      </c>
      <c r="T205" t="str">
        <f ca="1"/>
        <v>경기도 용인시 처인구 금학로225, 102동 302호</v>
      </c>
      <c r="U205" t="str">
        <f ca="1"/>
        <v>sangjin.park@neurophet.com</v>
      </c>
    </row>
    <row r="206" spans="1:21" x14ac:dyDescent="0.3">
      <c r="A206">
        <f ca="1"/>
        <v>205</v>
      </c>
      <c r="B206">
        <f ca="1"/>
        <v>23040301</v>
      </c>
      <c r="C206" t="str">
        <f ca="1"/>
        <v>김하진.</v>
      </c>
      <c r="D206" t="str">
        <f ca="1"/>
        <v>연구본부</v>
      </c>
      <c r="E206" t="str">
        <f ca="1"/>
        <v>TechOps팀</v>
      </c>
      <c r="F206" t="str">
        <f ca="1"/>
        <v>데이터검수</v>
      </c>
      <c r="G206" t="str">
        <f ca="1"/>
        <v>Temporary</v>
      </c>
      <c r="H206" t="str">
        <f ca="1"/>
        <v>계약직</v>
      </c>
      <c r="I206">
        <f ca="1"/>
        <v>45019</v>
      </c>
      <c r="J206">
        <f ca="1"/>
        <v>45019</v>
      </c>
      <c r="K206" t="str">
        <f ca="1"/>
        <v>계약직</v>
      </c>
      <c r="L206" t="str">
        <f ca="1"/>
        <v>사무직</v>
      </c>
      <c r="M206" t="str">
        <f ca="1"/>
        <v>퇴직</v>
      </c>
      <c r="N206" t="str">
        <f ca="1"/>
        <v>970405-2822919</v>
      </c>
      <c r="O206">
        <f ca="1"/>
        <v>35525</v>
      </c>
      <c r="P206" t="str">
        <f ca="1"/>
        <v>여</v>
      </c>
      <c r="Q206">
        <f ca="1"/>
        <v>29</v>
      </c>
      <c r="R206">
        <f ca="1"/>
        <v>27</v>
      </c>
      <c r="S206" t="str">
        <f ca="1"/>
        <v>010-5597-0405</v>
      </c>
      <c r="T206" t="str">
        <f ca="1"/>
        <v>서울특별시 중랑구 공릉로2길 8-4, 710호</v>
      </c>
      <c r="U206" t="str">
        <f ca="1"/>
        <v>hajin@neurophet.com</v>
      </c>
    </row>
    <row r="207" spans="1:21" x14ac:dyDescent="0.3">
      <c r="A207">
        <f ca="1"/>
        <v>206</v>
      </c>
      <c r="B207">
        <f ca="1"/>
        <v>21022202</v>
      </c>
      <c r="C207" t="str">
        <f ca="1"/>
        <v>이종수</v>
      </c>
      <c r="D207" t="str">
        <f ca="1"/>
        <v>연구본부</v>
      </c>
      <c r="E207" t="str">
        <f ca="1"/>
        <v>TechOps팀</v>
      </c>
      <c r="F207" t="str">
        <f ca="1"/>
        <v>레이블링</v>
      </c>
      <c r="G207" t="str">
        <f ca="1"/>
        <v>Member</v>
      </c>
      <c r="H207" t="str">
        <f ca="1"/>
        <v>멤버</v>
      </c>
      <c r="I207">
        <f ca="1"/>
        <v>44249</v>
      </c>
      <c r="J207">
        <f ca="1"/>
        <v>44389</v>
      </c>
      <c r="K207" t="str">
        <f ca="1"/>
        <v>정규직</v>
      </c>
      <c r="L207" t="str">
        <f ca="1"/>
        <v>연구직</v>
      </c>
      <c r="M207" t="str">
        <f ca="1"/>
        <v>퇴직</v>
      </c>
      <c r="N207" t="str">
        <f ca="1"/>
        <v>940311-1178419</v>
      </c>
      <c r="O207">
        <f ca="1"/>
        <v>34404</v>
      </c>
      <c r="P207" t="str">
        <f ca="1"/>
        <v>남</v>
      </c>
      <c r="Q207">
        <f ca="1"/>
        <v>32</v>
      </c>
      <c r="R207">
        <f ca="1"/>
        <v>31</v>
      </c>
      <c r="S207" t="str">
        <f ca="1"/>
        <v>010-3632-9026</v>
      </c>
      <c r="T207" t="str">
        <f ca="1"/>
        <v>경기도 안양시 만안구 박달로 498번길 28 우성아파트 107동 801호</v>
      </c>
      <c r="U207" t="str">
        <f ca="1"/>
        <v>jongsoo@neurophet.com</v>
      </c>
    </row>
    <row r="208" spans="1:21" x14ac:dyDescent="0.3">
      <c r="A208">
        <f ca="1"/>
        <v>207</v>
      </c>
      <c r="B208">
        <f ca="1"/>
        <v>23010101</v>
      </c>
      <c r="C208" t="str">
        <f ca="1"/>
        <v>남기윤</v>
      </c>
      <c r="D208" t="str">
        <f ca="1"/>
        <v>비즈니스본부</v>
      </c>
      <c r="E208" t="str">
        <f ca="1"/>
        <v>SE팀</v>
      </c>
      <c r="F208" t="str">
        <f ca="1"/>
        <v>SE</v>
      </c>
      <c r="G208" t="str">
        <f ca="1"/>
        <v>Member</v>
      </c>
      <c r="H208" t="str">
        <f ca="1"/>
        <v>멤버</v>
      </c>
      <c r="I208">
        <f ca="1"/>
        <v>44927</v>
      </c>
      <c r="J208">
        <f ca="1"/>
        <v>44927</v>
      </c>
      <c r="K208" t="str">
        <f ca="1"/>
        <v>정규직</v>
      </c>
      <c r="L208" t="str">
        <f ca="1"/>
        <v>사무직</v>
      </c>
      <c r="M208" t="str">
        <f ca="1"/>
        <v>퇴직</v>
      </c>
      <c r="N208" t="str">
        <f ca="1"/>
        <v>970830-1194314</v>
      </c>
      <c r="O208">
        <f ca="1"/>
        <v>35672</v>
      </c>
      <c r="P208" t="str">
        <f ca="1"/>
        <v>남</v>
      </c>
      <c r="Q208">
        <f ca="1"/>
        <v>29</v>
      </c>
      <c r="R208">
        <f ca="1"/>
        <v>27</v>
      </c>
      <c r="S208" t="str">
        <f ca="1"/>
        <v>010-3300-7065</v>
      </c>
      <c r="T208" t="str">
        <f ca="1"/>
        <v>경기도 군포시 엘에스로 143(힐스테이트 금정역)</v>
      </c>
      <c r="U208" t="str">
        <f ca="1"/>
        <v>kiyun@neurophet.com</v>
      </c>
    </row>
    <row r="209" spans="1:21" x14ac:dyDescent="0.3">
      <c r="A209">
        <f ca="1"/>
        <v>208</v>
      </c>
      <c r="B209">
        <f ca="1"/>
        <v>22032102</v>
      </c>
      <c r="C209" t="str">
        <f ca="1"/>
        <v>유지영</v>
      </c>
      <c r="D209" t="str">
        <f ca="1"/>
        <v>연구본부</v>
      </c>
      <c r="E209" t="str">
        <f ca="1"/>
        <v>TechOps팀</v>
      </c>
      <c r="F209" t="str">
        <f ca="1"/>
        <v>데이터검수</v>
      </c>
      <c r="G209" t="str">
        <f ca="1"/>
        <v>Temporary</v>
      </c>
      <c r="H209" t="str">
        <f ca="1"/>
        <v>계약직</v>
      </c>
      <c r="I209">
        <f ca="1"/>
        <v>44896</v>
      </c>
      <c r="J209">
        <f ca="1"/>
        <v>44896</v>
      </c>
      <c r="K209" t="str">
        <f ca="1"/>
        <v>계약직</v>
      </c>
      <c r="L209" t="str">
        <f ca="1"/>
        <v>사무직</v>
      </c>
      <c r="M209" t="str">
        <f ca="1"/>
        <v>퇴직</v>
      </c>
      <c r="N209" t="str">
        <f ca="1"/>
        <v>961017-2051125</v>
      </c>
      <c r="O209">
        <f ca="1"/>
        <v>35355</v>
      </c>
      <c r="P209" t="str">
        <f ca="1"/>
        <v>여</v>
      </c>
      <c r="Q209">
        <f ca="1"/>
        <v>30</v>
      </c>
      <c r="R209">
        <f ca="1"/>
        <v>28</v>
      </c>
      <c r="S209" t="str">
        <f ca="1"/>
        <v>010-2734-2881</v>
      </c>
      <c r="T209" t="str">
        <f ca="1"/>
        <v>서울특별시 은평구 진흥로 84-1 태경쉐르빌 501호</v>
      </c>
      <c r="U209" t="str">
        <f ca="1"/>
        <v>jiyeong.yoo@neurophet.com</v>
      </c>
    </row>
    <row r="210" spans="1:21" x14ac:dyDescent="0.3">
      <c r="A210">
        <f ca="1"/>
        <v>209</v>
      </c>
      <c r="B210">
        <f ca="1"/>
        <v>23010201</v>
      </c>
      <c r="C210" t="str">
        <f ca="1"/>
        <v>고건호</v>
      </c>
      <c r="D210" t="str">
        <f ca="1"/>
        <v>연구본부</v>
      </c>
      <c r="E210" t="str">
        <f ca="1"/>
        <v>TechOps팀</v>
      </c>
      <c r="F210" t="str">
        <f ca="1"/>
        <v>데이터검수</v>
      </c>
      <c r="G210" t="str">
        <f ca="1"/>
        <v>Temporary</v>
      </c>
      <c r="H210" t="str">
        <f ca="1"/>
        <v>계약직</v>
      </c>
      <c r="I210">
        <f ca="1"/>
        <v>44928</v>
      </c>
      <c r="J210">
        <f ca="1"/>
        <v>44928</v>
      </c>
      <c r="K210" t="str">
        <f ca="1"/>
        <v>계약직</v>
      </c>
      <c r="L210" t="str">
        <f ca="1"/>
        <v>사무직</v>
      </c>
      <c r="M210" t="str">
        <f ca="1"/>
        <v>퇴직</v>
      </c>
      <c r="N210" t="str">
        <f ca="1"/>
        <v>970125-1058314</v>
      </c>
      <c r="O210">
        <f ca="1"/>
        <v>35455</v>
      </c>
      <c r="P210" t="str">
        <f ca="1"/>
        <v>남</v>
      </c>
      <c r="Q210">
        <f ca="1"/>
        <v>29</v>
      </c>
      <c r="R210">
        <f ca="1"/>
        <v>28</v>
      </c>
      <c r="S210" t="str">
        <f ca="1"/>
        <v>010-8325-4957</v>
      </c>
      <c r="T210" t="str">
        <f ca="1"/>
        <v>경기도 시흥시 정왕신길로 49번길 26, 111동 803호</v>
      </c>
      <c r="U210" t="str">
        <f ca="1"/>
        <v>ghko@neurophet.com</v>
      </c>
    </row>
    <row r="211" spans="1:21" x14ac:dyDescent="0.3">
      <c r="A211">
        <f ca="1"/>
        <v>210</v>
      </c>
      <c r="B211">
        <f ca="1"/>
        <v>23010902</v>
      </c>
      <c r="C211" t="str">
        <f ca="1"/>
        <v>강지현</v>
      </c>
      <c r="D211" t="str">
        <f ca="1"/>
        <v>연구본부</v>
      </c>
      <c r="E211" t="str">
        <f ca="1"/>
        <v>TechOps팀</v>
      </c>
      <c r="F211" t="str">
        <f ca="1"/>
        <v>데이터검수</v>
      </c>
      <c r="G211" t="str">
        <f ca="1"/>
        <v>Temporary</v>
      </c>
      <c r="H211" t="str">
        <f ca="1"/>
        <v>계약직</v>
      </c>
      <c r="I211">
        <f ca="1"/>
        <v>44935</v>
      </c>
      <c r="J211">
        <f ca="1"/>
        <v>44935</v>
      </c>
      <c r="K211" t="str">
        <f ca="1"/>
        <v>계약직</v>
      </c>
      <c r="L211" t="str">
        <f ca="1"/>
        <v>사무직</v>
      </c>
      <c r="M211" t="str">
        <f ca="1"/>
        <v>퇴직</v>
      </c>
      <c r="N211" t="str">
        <f ca="1"/>
        <v>951209-2401614</v>
      </c>
      <c r="O211">
        <f ca="1"/>
        <v>35042</v>
      </c>
      <c r="P211" t="str">
        <f ca="1"/>
        <v>여</v>
      </c>
      <c r="Q211">
        <f ca="1"/>
        <v>31</v>
      </c>
      <c r="R211">
        <f ca="1"/>
        <v>29</v>
      </c>
      <c r="S211" t="str">
        <f ca="1"/>
        <v>010-9167-5627</v>
      </c>
      <c r="T211" t="str">
        <f ca="1"/>
        <v>서울특별시 강동구 올림픽로 92길 13 704호</v>
      </c>
      <c r="U211" t="str">
        <f ca="1"/>
        <v>jihyun.kang@neurophet.com</v>
      </c>
    </row>
    <row r="212" spans="1:21" x14ac:dyDescent="0.3">
      <c r="A212">
        <f ca="1"/>
        <v>211</v>
      </c>
      <c r="B212">
        <f ca="1"/>
        <v>23032001</v>
      </c>
      <c r="C212" t="str">
        <f ca="1"/>
        <v>윤지현</v>
      </c>
      <c r="D212" t="str">
        <f ca="1"/>
        <v>연구본부</v>
      </c>
      <c r="E212" t="str">
        <f ca="1"/>
        <v>TechOps팀</v>
      </c>
      <c r="F212" t="str">
        <f ca="1"/>
        <v>데이터검수</v>
      </c>
      <c r="G212" t="str">
        <f ca="1"/>
        <v>Temporary</v>
      </c>
      <c r="H212" t="str">
        <f ca="1"/>
        <v>계약직</v>
      </c>
      <c r="I212">
        <f ca="1"/>
        <v>45005</v>
      </c>
      <c r="J212">
        <f ca="1"/>
        <v>45005</v>
      </c>
      <c r="K212" t="str">
        <f ca="1"/>
        <v>계약직</v>
      </c>
      <c r="L212" t="str">
        <f ca="1"/>
        <v>사무직</v>
      </c>
      <c r="M212" t="str">
        <f ca="1"/>
        <v>퇴직</v>
      </c>
      <c r="N212" t="str">
        <f ca="1"/>
        <v>010513-4850119</v>
      </c>
      <c r="O212">
        <f ca="1"/>
        <v>37024</v>
      </c>
      <c r="P212" t="str">
        <f ca="1"/>
        <v>여</v>
      </c>
      <c r="Q212">
        <f ca="1"/>
        <v>25</v>
      </c>
      <c r="R212">
        <f ca="1"/>
        <v>23</v>
      </c>
      <c r="S212" t="str">
        <f ca="1"/>
        <v>010-9073-1288</v>
      </c>
      <c r="T212" t="str">
        <f ca="1"/>
        <v>서울특별시 성북구 고려대로 22길 25, 더반하우스 S7호</v>
      </c>
      <c r="U212" t="str">
        <f ca="1"/>
        <v>yjh@neurophet.com</v>
      </c>
    </row>
    <row r="213" spans="1:21" x14ac:dyDescent="0.3">
      <c r="A213">
        <f ca="1"/>
        <v>212</v>
      </c>
      <c r="B213">
        <f ca="1"/>
        <v>22030203</v>
      </c>
      <c r="C213" t="str">
        <f ca="1"/>
        <v>조은영</v>
      </c>
      <c r="D213" t="str">
        <f ca="1"/>
        <v>연구본부</v>
      </c>
      <c r="E213" t="str">
        <f ca="1"/>
        <v>연구기획팀</v>
      </c>
      <c r="F213" t="str">
        <f ca="1"/>
        <v>연구소행정</v>
      </c>
      <c r="G213" t="str">
        <f ca="1"/>
        <v>Member</v>
      </c>
      <c r="H213" t="str">
        <f ca="1"/>
        <v>멤버</v>
      </c>
      <c r="I213">
        <f ca="1"/>
        <v>44622</v>
      </c>
      <c r="J213">
        <f ca="1"/>
        <v>44713</v>
      </c>
      <c r="K213" t="str">
        <f ca="1"/>
        <v>정규직</v>
      </c>
      <c r="L213" t="str">
        <f ca="1"/>
        <v>연구직</v>
      </c>
      <c r="M213" t="str">
        <f ca="1"/>
        <v>퇴직</v>
      </c>
      <c r="N213" t="str">
        <f ca="1"/>
        <v>970421-2157719</v>
      </c>
      <c r="O213">
        <f ca="1"/>
        <v>35541</v>
      </c>
      <c r="P213" t="str">
        <f ca="1"/>
        <v>여</v>
      </c>
      <c r="Q213">
        <f ca="1"/>
        <v>29</v>
      </c>
      <c r="R213">
        <f ca="1"/>
        <v>27</v>
      </c>
      <c r="S213" t="str">
        <f ca="1"/>
        <v>010-4912-6155</v>
      </c>
      <c r="T213" t="str">
        <f ca="1"/>
        <v>경기도 부천시 옥산로 16, 1410동 103호</v>
      </c>
      <c r="U213" t="str">
        <f ca="1"/>
        <v>eyjo@neurophet.com</v>
      </c>
    </row>
    <row r="214" spans="1:21" x14ac:dyDescent="0.3">
      <c r="A214">
        <f ca="1"/>
        <v>213</v>
      </c>
      <c r="B214">
        <f ca="1"/>
        <v>23041003</v>
      </c>
      <c r="C214" t="str">
        <f ca="1"/>
        <v>최지연</v>
      </c>
      <c r="D214" t="str">
        <f ca="1"/>
        <v>연구본부</v>
      </c>
      <c r="E214" t="str">
        <f ca="1"/>
        <v>TechOps팀</v>
      </c>
      <c r="F214" t="str">
        <f ca="1"/>
        <v>데이터검수</v>
      </c>
      <c r="G214" t="str">
        <f ca="1"/>
        <v>Temporary</v>
      </c>
      <c r="H214" t="str">
        <f ca="1"/>
        <v>계약직</v>
      </c>
      <c r="I214">
        <f ca="1"/>
        <v>45026</v>
      </c>
      <c r="J214">
        <f ca="1"/>
        <v>45026</v>
      </c>
      <c r="K214" t="str">
        <f ca="1"/>
        <v>계약직</v>
      </c>
      <c r="L214" t="str">
        <f ca="1"/>
        <v>사무직</v>
      </c>
      <c r="M214" t="str">
        <f ca="1"/>
        <v>퇴직</v>
      </c>
      <c r="N214" t="str">
        <f ca="1"/>
        <v>010108-4179216</v>
      </c>
      <c r="O214">
        <f ca="1"/>
        <v>36899</v>
      </c>
      <c r="P214" t="str">
        <f ca="1"/>
        <v>여</v>
      </c>
      <c r="Q214">
        <f ca="1"/>
        <v>25</v>
      </c>
      <c r="R214">
        <f ca="1"/>
        <v>24</v>
      </c>
      <c r="S214" t="str">
        <f ca="1"/>
        <v>010-4049-7506</v>
      </c>
      <c r="T214" t="str">
        <f ca="1"/>
        <v>경기도 안양시 동안구 관악대로 263번길 50-4 202호</v>
      </c>
      <c r="U214" t="str">
        <f ca="1"/>
        <v>choijiyeon@neurophet.com</v>
      </c>
    </row>
    <row r="215" spans="1:21" x14ac:dyDescent="0.3">
      <c r="A215">
        <f ca="1"/>
        <v>214</v>
      </c>
      <c r="B215">
        <f ca="1"/>
        <v>23040302</v>
      </c>
      <c r="C215" t="str">
        <f ca="1"/>
        <v>김가희B</v>
      </c>
      <c r="D215" t="str">
        <f ca="1"/>
        <v>연구본부</v>
      </c>
      <c r="E215" t="str">
        <f ca="1"/>
        <v>TechOps팀</v>
      </c>
      <c r="F215" t="str">
        <f ca="1"/>
        <v>데이터검수</v>
      </c>
      <c r="G215" t="str">
        <f ca="1"/>
        <v>Temporary</v>
      </c>
      <c r="H215" t="str">
        <f ca="1"/>
        <v>계약직</v>
      </c>
      <c r="I215">
        <f ca="1"/>
        <v>45019</v>
      </c>
      <c r="J215">
        <f ca="1"/>
        <v>45019</v>
      </c>
      <c r="K215" t="str">
        <f ca="1"/>
        <v>계약직</v>
      </c>
      <c r="L215" t="str">
        <f ca="1"/>
        <v>사무직</v>
      </c>
      <c r="M215" t="str">
        <f ca="1"/>
        <v>퇴직</v>
      </c>
      <c r="N215" t="str">
        <f ca="1"/>
        <v>990213-2179721</v>
      </c>
      <c r="O215">
        <f ca="1"/>
        <v>36204</v>
      </c>
      <c r="P215" t="str">
        <f ca="1"/>
        <v>여</v>
      </c>
      <c r="Q215">
        <f ca="1"/>
        <v>27</v>
      </c>
      <c r="R215">
        <f ca="1"/>
        <v>26</v>
      </c>
      <c r="S215" t="str">
        <f ca="1"/>
        <v>010-4621-4087</v>
      </c>
      <c r="T215" t="str">
        <f ca="1"/>
        <v>경기도 의왕시 오전로 150, 102동 101호</v>
      </c>
      <c r="U215" t="str">
        <f ca="1"/>
        <v>kimkahee@neurophet.com</v>
      </c>
    </row>
    <row r="216" spans="1:21" x14ac:dyDescent="0.3">
      <c r="A216">
        <f ca="1"/>
        <v>215</v>
      </c>
      <c r="B216">
        <f ca="1"/>
        <v>21091302</v>
      </c>
      <c r="C216" t="str">
        <f ca="1"/>
        <v>강주미</v>
      </c>
      <c r="D216" t="str">
        <f ca="1"/>
        <v>비즈니스본부</v>
      </c>
      <c r="E216" t="str">
        <f ca="1"/>
        <v>마케팅팀</v>
      </c>
      <c r="F216" t="str">
        <f ca="1"/>
        <v>Admin</v>
      </c>
      <c r="G216" t="str">
        <f ca="1"/>
        <v>Member</v>
      </c>
      <c r="H216" t="str">
        <f ca="1"/>
        <v>멤버</v>
      </c>
      <c r="I216">
        <f ca="1"/>
        <v>44452</v>
      </c>
      <c r="J216">
        <f ca="1"/>
        <v>44452</v>
      </c>
      <c r="K216" t="str">
        <f ca="1"/>
        <v>정규직</v>
      </c>
      <c r="L216" t="str">
        <f ca="1"/>
        <v>사무직</v>
      </c>
      <c r="M216" t="str">
        <f ca="1"/>
        <v>퇴직</v>
      </c>
      <c r="N216" t="str">
        <f ca="1"/>
        <v>980706-2412110</v>
      </c>
      <c r="O216">
        <f ca="1"/>
        <v>35982</v>
      </c>
      <c r="P216" t="str">
        <f ca="1"/>
        <v>여</v>
      </c>
      <c r="Q216">
        <f ca="1"/>
        <v>28</v>
      </c>
      <c r="R216">
        <f ca="1"/>
        <v>26</v>
      </c>
      <c r="S216" t="str">
        <f ca="1"/>
        <v>010-6307-1850</v>
      </c>
      <c r="T216" t="str">
        <f ca="1"/>
        <v>서울특별시 관악구 남부순환로 228길 74 세기하이츠빌라 102호</v>
      </c>
      <c r="U216" t="str">
        <f ca="1"/>
        <v>jumikang@neurophet.com</v>
      </c>
    </row>
    <row r="217" spans="1:21" x14ac:dyDescent="0.3">
      <c r="A217">
        <f ca="1"/>
        <v>216</v>
      </c>
      <c r="B217">
        <f ca="1"/>
        <v>22101101</v>
      </c>
      <c r="C217" t="str">
        <f ca="1"/>
        <v>임철기</v>
      </c>
      <c r="D217" t="str">
        <f ca="1"/>
        <v>연구본부</v>
      </c>
      <c r="E217" t="str">
        <f ca="1"/>
        <v>NE팀</v>
      </c>
      <c r="F217" t="str">
        <f ca="1"/>
        <v>연구개발</v>
      </c>
      <c r="G217" t="str">
        <f ca="1"/>
        <v>Temporary</v>
      </c>
      <c r="H217" t="str">
        <f ca="1"/>
        <v>계약직</v>
      </c>
      <c r="I217">
        <f ca="1"/>
        <v>44845</v>
      </c>
      <c r="J217">
        <f ca="1"/>
        <v>44845</v>
      </c>
      <c r="K217" t="str">
        <f ca="1"/>
        <v>계약직</v>
      </c>
      <c r="L217" t="str">
        <f ca="1"/>
        <v>사무직</v>
      </c>
      <c r="M217" t="str">
        <f ca="1"/>
        <v>퇴직</v>
      </c>
      <c r="N217" t="str">
        <f ca="1"/>
        <v>930714-1552817</v>
      </c>
      <c r="O217">
        <f ca="1"/>
        <v>34164</v>
      </c>
      <c r="P217" t="str">
        <f ca="1"/>
        <v>남</v>
      </c>
      <c r="Q217">
        <f ca="1"/>
        <v>33</v>
      </c>
      <c r="R217">
        <f ca="1"/>
        <v>31</v>
      </c>
      <c r="S217" t="str">
        <f ca="1"/>
        <v>010-4938-3538</v>
      </c>
      <c r="T217" t="str">
        <f ca="1"/>
        <v>광주광역시 북구 오룡동 기혼자아파트 G동 501호</v>
      </c>
      <c r="U217" t="str">
        <f ca="1"/>
        <v>cheolkiIm@neurophet.com</v>
      </c>
    </row>
    <row r="218" spans="1:21" x14ac:dyDescent="0.3">
      <c r="A218">
        <f ca="1"/>
        <v>217</v>
      </c>
      <c r="B218">
        <f ca="1"/>
        <v>23021301</v>
      </c>
      <c r="C218" t="str">
        <f ca="1"/>
        <v>정다성</v>
      </c>
      <c r="D218" t="str">
        <f ca="1"/>
        <v>비즈니스본부</v>
      </c>
      <c r="E218" t="str">
        <f ca="1"/>
        <v>SE팀</v>
      </c>
      <c r="F218" t="str">
        <f ca="1"/>
        <v>SE</v>
      </c>
      <c r="G218" t="str">
        <f ca="1"/>
        <v>Member</v>
      </c>
      <c r="H218" t="str">
        <f ca="1"/>
        <v>멤버</v>
      </c>
      <c r="I218">
        <f ca="1"/>
        <v>44970</v>
      </c>
      <c r="J218">
        <f ca="1"/>
        <v>44970</v>
      </c>
      <c r="K218" t="str">
        <f ca="1"/>
        <v>정규직</v>
      </c>
      <c r="L218" t="str">
        <f ca="1"/>
        <v>사무직</v>
      </c>
      <c r="M218" t="str">
        <f ca="1"/>
        <v>퇴직</v>
      </c>
      <c r="N218" t="str">
        <f ca="1"/>
        <v>891225-1410025</v>
      </c>
      <c r="O218">
        <f ca="1"/>
        <v>32867</v>
      </c>
      <c r="P218" t="str">
        <f ca="1"/>
        <v>남</v>
      </c>
      <c r="Q218">
        <f ca="1"/>
        <v>37</v>
      </c>
      <c r="R218">
        <f ca="1"/>
        <v>35</v>
      </c>
      <c r="S218" t="str">
        <f ca="1"/>
        <v>010-4030-8783</v>
      </c>
      <c r="T218" t="str">
        <f ca="1"/>
        <v>경기도 고양시 덕양구 은빛마을 11단지 1103-103</v>
      </c>
      <c r="U218" t="str">
        <f ca="1"/>
        <v>dasung@neurophet.com</v>
      </c>
    </row>
    <row r="219" spans="1:21" x14ac:dyDescent="0.3">
      <c r="A219">
        <f ca="1"/>
        <v>218</v>
      </c>
      <c r="B219">
        <f ca="1"/>
        <v>23010901</v>
      </c>
      <c r="C219" t="str">
        <f ca="1"/>
        <v>이지연B</v>
      </c>
      <c r="D219" t="str">
        <f ca="1"/>
        <v>연구본부</v>
      </c>
      <c r="E219" t="str">
        <f ca="1"/>
        <v>연구기획팀</v>
      </c>
      <c r="F219" t="str">
        <f ca="1"/>
        <v>연구소행정</v>
      </c>
      <c r="G219" t="str">
        <f ca="1"/>
        <v>Member</v>
      </c>
      <c r="H219" t="str">
        <f ca="1"/>
        <v>멤버</v>
      </c>
      <c r="I219">
        <f ca="1"/>
        <v>44928</v>
      </c>
      <c r="J219">
        <f ca="1"/>
        <v>44928</v>
      </c>
      <c r="K219" t="str">
        <f ca="1"/>
        <v>정규직</v>
      </c>
      <c r="L219" t="str">
        <f ca="1"/>
        <v>사무직</v>
      </c>
      <c r="M219" t="str">
        <f ca="1"/>
        <v>퇴직</v>
      </c>
      <c r="N219" t="str">
        <f ca="1"/>
        <v>800325-2081333</v>
      </c>
      <c r="O219">
        <f ca="1"/>
        <v>29305</v>
      </c>
      <c r="P219" t="str">
        <f ca="1"/>
        <v>여</v>
      </c>
      <c r="Q219">
        <f ca="1"/>
        <v>46</v>
      </c>
      <c r="R219">
        <f ca="1"/>
        <v>45</v>
      </c>
      <c r="S219" t="str">
        <f ca="1"/>
        <v>010-5281-5259</v>
      </c>
      <c r="T219" t="str">
        <f ca="1"/>
        <v>서울특별시 강동구 상암로 225 3동 1202호</v>
      </c>
      <c r="U219" t="str">
        <f ca="1"/>
        <v>leejiyeon@neurophet.com</v>
      </c>
    </row>
    <row r="220" spans="1:21" x14ac:dyDescent="0.3">
      <c r="A220">
        <f ca="1"/>
        <v>219</v>
      </c>
      <c r="B220">
        <f ca="1"/>
        <v>22080103</v>
      </c>
      <c r="C220" t="str">
        <f ca="1"/>
        <v>정기원1</v>
      </c>
      <c r="D220" t="str">
        <f ca="1"/>
        <v>사업개발본부</v>
      </c>
      <c r="E220" t="str">
        <f ca="1"/>
        <v>사업개발본부</v>
      </c>
      <c r="F220" t="str">
        <f ca="1"/>
        <v>리서치, 운영</v>
      </c>
      <c r="G220" t="str">
        <f ca="1"/>
        <v>Intern</v>
      </c>
      <c r="H220" t="str">
        <f ca="1"/>
        <v>멤버</v>
      </c>
      <c r="I220">
        <f ca="1"/>
        <v>44896</v>
      </c>
      <c r="J220">
        <f ca="1"/>
        <v>44896</v>
      </c>
      <c r="K220" t="str">
        <f ca="1"/>
        <v>계약직</v>
      </c>
      <c r="L220" t="str">
        <f ca="1"/>
        <v>사무직</v>
      </c>
      <c r="M220" t="str">
        <f ca="1"/>
        <v>퇴직</v>
      </c>
      <c r="N220" t="str">
        <f ca="1"/>
        <v>990302-1784019</v>
      </c>
      <c r="O220">
        <f ca="1"/>
        <v>36221</v>
      </c>
      <c r="P220" t="str">
        <f ca="1"/>
        <v>남</v>
      </c>
      <c r="Q220">
        <f ca="1"/>
        <v>27</v>
      </c>
      <c r="R220">
        <f ca="1"/>
        <v>26</v>
      </c>
      <c r="S220" t="str">
        <f ca="1"/>
        <v>010-2379-2893</v>
      </c>
      <c r="T220" t="str">
        <f ca="1"/>
        <v>서울특별시 영등포구 선유로13길 11 문래파라곤 201동 708호</v>
      </c>
      <c r="U220" t="str">
        <f ca="1"/>
        <v>kiwon@neurophet.com</v>
      </c>
    </row>
    <row r="221" spans="1:21" x14ac:dyDescent="0.3">
      <c r="A221">
        <f ca="1"/>
        <v>220</v>
      </c>
      <c r="B221">
        <f ca="1"/>
        <v>22070402</v>
      </c>
      <c r="C221" t="str">
        <f ca="1"/>
        <v>우상아1</v>
      </c>
      <c r="D221" t="str">
        <f ca="1"/>
        <v>연구본부</v>
      </c>
      <c r="E221" t="str">
        <f ca="1"/>
        <v>TechOps팀</v>
      </c>
      <c r="F221" t="str">
        <f ca="1"/>
        <v>데이터검수</v>
      </c>
      <c r="G221" t="str">
        <f ca="1"/>
        <v>Temporary</v>
      </c>
      <c r="H221" t="str">
        <f ca="1"/>
        <v>계약직</v>
      </c>
      <c r="I221">
        <f ca="1"/>
        <v>44896</v>
      </c>
      <c r="J221">
        <f ca="1"/>
        <v>44896</v>
      </c>
      <c r="K221" t="str">
        <f ca="1"/>
        <v>계약직</v>
      </c>
      <c r="L221" t="str">
        <f ca="1"/>
        <v>사무직</v>
      </c>
      <c r="M221" t="str">
        <f ca="1"/>
        <v>퇴직</v>
      </c>
      <c r="N221" t="str">
        <f ca="1"/>
        <v>930412-2164011</v>
      </c>
      <c r="O221">
        <f ca="1"/>
        <v>34071</v>
      </c>
      <c r="P221" t="str">
        <f ca="1"/>
        <v>여</v>
      </c>
      <c r="Q221">
        <f ca="1"/>
        <v>33</v>
      </c>
      <c r="R221">
        <f ca="1"/>
        <v>31</v>
      </c>
      <c r="S221" t="str">
        <f ca="1"/>
        <v>010-5721-1370</v>
      </c>
      <c r="T221" t="str">
        <f ca="1"/>
        <v>경기도 수원시 장안구 파장천로66번길 106-9 304호</v>
      </c>
      <c r="U221" t="str">
        <f ca="1"/>
        <v>sangah@neurophet.com</v>
      </c>
    </row>
    <row r="222" spans="1:21" x14ac:dyDescent="0.3">
      <c r="A222">
        <f ca="1"/>
        <v>221</v>
      </c>
      <c r="B222">
        <f ca="1"/>
        <v>20020601</v>
      </c>
      <c r="C222" t="str">
        <f ca="1"/>
        <v>나현선</v>
      </c>
      <c r="D222" t="str">
        <f ca="1"/>
        <v>연구본부</v>
      </c>
      <c r="E222" t="str">
        <f ca="1"/>
        <v>연구기획팀</v>
      </c>
      <c r="F222" t="str">
        <f ca="1"/>
        <v>정부과제</v>
      </c>
      <c r="G222" t="str">
        <f ca="1"/>
        <v>Member</v>
      </c>
      <c r="H222" t="str">
        <f ca="1"/>
        <v>멤버</v>
      </c>
      <c r="I222">
        <f ca="1"/>
        <v>43867</v>
      </c>
      <c r="J222">
        <f ca="1"/>
        <v>43867</v>
      </c>
      <c r="K222" t="str">
        <f ca="1"/>
        <v>정규직</v>
      </c>
      <c r="L222" t="str">
        <f ca="1"/>
        <v>사무직</v>
      </c>
      <c r="M222" t="str">
        <f ca="1"/>
        <v>퇴직</v>
      </c>
      <c r="N222" t="str">
        <f ca="1"/>
        <v>821004-1483313</v>
      </c>
      <c r="O222">
        <f ca="1"/>
        <v>30228</v>
      </c>
      <c r="P222" t="str">
        <f ca="1"/>
        <v>남</v>
      </c>
      <c r="Q222">
        <f ca="1"/>
        <v>44</v>
      </c>
      <c r="R222">
        <f ca="1"/>
        <v>42</v>
      </c>
      <c r="S222" t="str">
        <f ca="1"/>
        <v>010-8565-3202</v>
      </c>
      <c r="T222" t="str">
        <f ca="1"/>
        <v>서울특별시 관악구 관천로18길 35, 201호</v>
      </c>
      <c r="U222" t="str">
        <f ca="1"/>
        <v>hs_na@neurophet.com</v>
      </c>
    </row>
    <row r="223" spans="1:21" x14ac:dyDescent="0.3">
      <c r="A223">
        <f ca="1"/>
        <v>222</v>
      </c>
      <c r="B223">
        <f ca="1"/>
        <v>20060801</v>
      </c>
      <c r="C223" t="str">
        <f ca="1"/>
        <v>손덕진</v>
      </c>
      <c r="D223" t="str">
        <f ca="1"/>
        <v>연구본부</v>
      </c>
      <c r="E223" t="str">
        <f ca="1"/>
        <v>Neuroengineering</v>
      </c>
      <c r="F223" t="str">
        <f ca="1"/>
        <v>SaaS</v>
      </c>
      <c r="G223" t="str">
        <f ca="1"/>
        <v>Member</v>
      </c>
      <c r="H223" t="str">
        <f ca="1"/>
        <v>멤버</v>
      </c>
      <c r="I223">
        <f ca="1"/>
        <v>43990</v>
      </c>
      <c r="J223">
        <f ca="1"/>
        <v>43990</v>
      </c>
      <c r="K223" t="str">
        <f ca="1"/>
        <v>정규직</v>
      </c>
      <c r="L223" t="str">
        <f ca="1"/>
        <v>연구직</v>
      </c>
      <c r="M223" t="str">
        <f ca="1"/>
        <v>퇴직</v>
      </c>
      <c r="N223" t="str">
        <f ca="1"/>
        <v>731020-1143121</v>
      </c>
      <c r="O223">
        <f ca="1"/>
        <v>26957</v>
      </c>
      <c r="P223" t="str">
        <f ca="1"/>
        <v>남</v>
      </c>
      <c r="Q223">
        <f ca="1"/>
        <v>53</v>
      </c>
      <c r="R223">
        <f ca="1"/>
        <v>51</v>
      </c>
      <c r="S223" t="str">
        <f ca="1"/>
        <v>010-3751-2409</v>
      </c>
      <c r="T223" t="str">
        <f ca="1"/>
        <v xml:space="preserve">인천광역시 계양구 아나지로 213번길 22 101동 2008호(효성동, 풍림아파트)   </v>
      </c>
      <c r="U223" t="str">
        <f ca="1"/>
        <v>djson@neurophet.com</v>
      </c>
    </row>
    <row r="224" spans="1:21" x14ac:dyDescent="0.3">
      <c r="A224">
        <f ca="1"/>
        <v>223</v>
      </c>
      <c r="B224">
        <f ca="1"/>
        <v>20121402</v>
      </c>
      <c r="C224" t="str">
        <f ca="1"/>
        <v>이수항</v>
      </c>
      <c r="D224" t="str">
        <f ca="1"/>
        <v>비즈니스본부</v>
      </c>
      <c r="E224" t="str">
        <f ca="1"/>
        <v>SE팀</v>
      </c>
      <c r="F224" t="str">
        <f ca="1"/>
        <v>SE</v>
      </c>
      <c r="G224" t="str">
        <f ca="1"/>
        <v>Member</v>
      </c>
      <c r="H224" t="str">
        <f ca="1"/>
        <v>멤버</v>
      </c>
      <c r="I224">
        <f ca="1"/>
        <v>44179</v>
      </c>
      <c r="J224">
        <f ca="1"/>
        <v>44179</v>
      </c>
      <c r="K224" t="str">
        <f ca="1"/>
        <v>정규직</v>
      </c>
      <c r="L224" t="str">
        <f ca="1"/>
        <v>사무직</v>
      </c>
      <c r="M224" t="str">
        <f ca="1"/>
        <v>퇴직</v>
      </c>
      <c r="N224" t="str">
        <f ca="1"/>
        <v>910521-1066119</v>
      </c>
      <c r="O224">
        <f ca="1"/>
        <v>33379</v>
      </c>
      <c r="P224" t="str">
        <f ca="1"/>
        <v>남</v>
      </c>
      <c r="Q224">
        <f ca="1"/>
        <v>35</v>
      </c>
      <c r="R224">
        <f ca="1"/>
        <v>33</v>
      </c>
      <c r="S224" t="str">
        <f ca="1"/>
        <v>010-3906-2591</v>
      </c>
      <c r="T224" t="str">
        <f ca="1"/>
        <v xml:space="preserve">서울특별시 강서구 화곡본동 61-20 에이스빌 C동 101호    </v>
      </c>
      <c r="U224" t="str">
        <f ca="1"/>
        <v>shlee@neurophet.com</v>
      </c>
    </row>
    <row r="225" spans="1:21" x14ac:dyDescent="0.3">
      <c r="A225">
        <f ca="1"/>
        <v>224</v>
      </c>
      <c r="B225">
        <f ca="1"/>
        <v>20021701</v>
      </c>
      <c r="C225" t="str">
        <f ca="1"/>
        <v>박세본</v>
      </c>
      <c r="D225" t="str">
        <f ca="1"/>
        <v>연구본부</v>
      </c>
      <c r="E225" t="str">
        <f ca="1"/>
        <v>AI팀</v>
      </c>
      <c r="F225" t="str">
        <f ca="1"/>
        <v>SaaS</v>
      </c>
      <c r="G225" t="str">
        <f ca="1"/>
        <v>Lead</v>
      </c>
      <c r="H225" t="str">
        <f ca="1"/>
        <v>팀리드</v>
      </c>
      <c r="I225">
        <f ca="1"/>
        <v>43878</v>
      </c>
      <c r="J225">
        <f ca="1"/>
        <v>43878</v>
      </c>
      <c r="K225" t="str">
        <f ca="1"/>
        <v>정규직</v>
      </c>
      <c r="L225" t="str">
        <f ca="1"/>
        <v>연구직</v>
      </c>
      <c r="M225" t="str">
        <f ca="1"/>
        <v>퇴직</v>
      </c>
      <c r="N225" t="str">
        <f ca="1"/>
        <v>851124-2546217</v>
      </c>
      <c r="O225">
        <f ca="1"/>
        <v>31375</v>
      </c>
      <c r="P225" t="str">
        <f ca="1"/>
        <v>여</v>
      </c>
      <c r="Q225">
        <f ca="1"/>
        <v>41</v>
      </c>
      <c r="R225">
        <f ca="1"/>
        <v>39</v>
      </c>
      <c r="S225" t="str">
        <f ca="1"/>
        <v>010-3455-1758</v>
      </c>
      <c r="T225" t="str">
        <f ca="1"/>
        <v>경기도 하남시 미사강변동로 50, 2805동 1301호(망월동, 미사강변 골든 센트로)</v>
      </c>
      <c r="U225" t="str">
        <f ca="1"/>
        <v>sbpark@neurophet.com</v>
      </c>
    </row>
    <row r="226" spans="1:21" x14ac:dyDescent="0.3">
      <c r="A226">
        <f ca="1"/>
        <v>225</v>
      </c>
      <c r="B226">
        <f ca="1"/>
        <v>22071102</v>
      </c>
      <c r="C226" t="str">
        <f ca="1"/>
        <v>김관동</v>
      </c>
      <c r="D226" t="str">
        <f ca="1"/>
        <v>연구본부</v>
      </c>
      <c r="E226" t="str">
        <f ca="1"/>
        <v>TechOps팀</v>
      </c>
      <c r="F226" t="str">
        <f ca="1"/>
        <v>데이터검수</v>
      </c>
      <c r="G226" t="str">
        <f ca="1"/>
        <v>Temporary</v>
      </c>
      <c r="H226" t="str">
        <f ca="1"/>
        <v>계약직</v>
      </c>
      <c r="I226">
        <f ca="1"/>
        <v>44753</v>
      </c>
      <c r="J226">
        <f ca="1"/>
        <v>44753</v>
      </c>
      <c r="K226" t="str">
        <f ca="1"/>
        <v>계약직</v>
      </c>
      <c r="L226" t="str">
        <f ca="1"/>
        <v>사무직</v>
      </c>
      <c r="M226" t="str">
        <f ca="1"/>
        <v>퇴직</v>
      </c>
      <c r="N226" t="str">
        <f ca="1"/>
        <v>010525-3183111</v>
      </c>
      <c r="O226">
        <f ca="1"/>
        <v>37036</v>
      </c>
      <c r="P226" t="str">
        <f ca="1"/>
        <v>남</v>
      </c>
      <c r="Q226">
        <f ca="1"/>
        <v>25</v>
      </c>
      <c r="R226">
        <f ca="1"/>
        <v>23</v>
      </c>
      <c r="S226" t="str">
        <f ca="1"/>
        <v>010-2789-4977</v>
      </c>
      <c r="T226" t="str">
        <f ca="1"/>
        <v>서울특별시 구로구 오리로21가길 27, 가동 B01호 (궁동, 미성빌라)</v>
      </c>
      <c r="U226" t="str">
        <f ca="1"/>
        <v>kdkim@neurophet.com</v>
      </c>
    </row>
    <row r="227" spans="1:21" x14ac:dyDescent="0.3">
      <c r="A227">
        <f ca="1"/>
        <v>226</v>
      </c>
      <c r="B227">
        <f ca="1"/>
        <v>22080102</v>
      </c>
      <c r="C227" t="str">
        <f ca="1"/>
        <v>정기원2</v>
      </c>
      <c r="D227" t="str">
        <f ca="1"/>
        <v>사업개발본부</v>
      </c>
      <c r="E227" t="str">
        <f ca="1"/>
        <v>사업개발본부</v>
      </c>
      <c r="F227" t="str">
        <f ca="1"/>
        <v>리서치, 운영</v>
      </c>
      <c r="G227" t="str">
        <f ca="1"/>
        <v>Intern</v>
      </c>
      <c r="H227" t="str">
        <f ca="1"/>
        <v>멤버</v>
      </c>
      <c r="I227">
        <f ca="1"/>
        <v>44774</v>
      </c>
      <c r="J227">
        <f ca="1"/>
        <v>44774</v>
      </c>
      <c r="K227" t="str">
        <f ca="1"/>
        <v>계약직</v>
      </c>
      <c r="L227" t="str">
        <f ca="1"/>
        <v>사무직</v>
      </c>
      <c r="M227" t="str">
        <f ca="1"/>
        <v>퇴직</v>
      </c>
      <c r="N227" t="str">
        <f ca="1"/>
        <v>990302-1784019</v>
      </c>
      <c r="O227">
        <f ca="1"/>
        <v>36221</v>
      </c>
      <c r="P227" t="str">
        <f ca="1"/>
        <v>남</v>
      </c>
      <c r="Q227">
        <f ca="1"/>
        <v>27</v>
      </c>
      <c r="R227">
        <f ca="1"/>
        <v>26</v>
      </c>
      <c r="S227" t="str">
        <f ca="1"/>
        <v>010-2379-2893</v>
      </c>
      <c r="T227" t="str">
        <f ca="1"/>
        <v>서울특별시 영등포구 선유로13길 11 문래파라곤 201동 708호</v>
      </c>
      <c r="U227" t="str">
        <f ca="1"/>
        <v>kiwon@neurophet.com</v>
      </c>
    </row>
    <row r="228" spans="1:21" x14ac:dyDescent="0.3">
      <c r="A228">
        <f ca="1"/>
        <v>227</v>
      </c>
      <c r="B228">
        <f ca="1"/>
        <v>21020101</v>
      </c>
      <c r="C228" t="str">
        <f ca="1"/>
        <v>손명수</v>
      </c>
      <c r="D228" t="str">
        <f ca="1"/>
        <v>프로덕트본부</v>
      </c>
      <c r="E228" t="str">
        <f ca="1"/>
        <v>Frontend팀</v>
      </c>
      <c r="F228" t="str">
        <f ca="1"/>
        <v>Front_End개발</v>
      </c>
      <c r="G228" t="str">
        <f ca="1"/>
        <v>Member</v>
      </c>
      <c r="H228" t="str">
        <f ca="1"/>
        <v>멤버</v>
      </c>
      <c r="I228">
        <f ca="1"/>
        <v>44228</v>
      </c>
      <c r="J228">
        <f ca="1"/>
        <v>44228</v>
      </c>
      <c r="K228" t="str">
        <f ca="1"/>
        <v>정규직</v>
      </c>
      <c r="L228" t="str">
        <f ca="1"/>
        <v>연구직</v>
      </c>
      <c r="M228" t="str">
        <f ca="1"/>
        <v>퇴직</v>
      </c>
      <c r="N228" t="str">
        <f ca="1"/>
        <v>960830-1167725</v>
      </c>
      <c r="O228">
        <f ca="1"/>
        <v>35307</v>
      </c>
      <c r="P228" t="str">
        <f ca="1"/>
        <v>남</v>
      </c>
      <c r="Q228">
        <f ca="1"/>
        <v>30</v>
      </c>
      <c r="R228">
        <f ca="1"/>
        <v>28</v>
      </c>
      <c r="S228" t="str">
        <f ca="1"/>
        <v>010-6282-3838</v>
      </c>
      <c r="T228" t="str">
        <f ca="1"/>
        <v>경기도 성남시 수정구 남문로 69번길 5-10</v>
      </c>
      <c r="U228" t="str">
        <f ca="1"/>
        <v>msson@neurophet.com</v>
      </c>
    </row>
    <row r="229" spans="1:21" x14ac:dyDescent="0.3">
      <c r="A229">
        <f ca="1"/>
        <v>228</v>
      </c>
      <c r="B229">
        <f ca="1"/>
        <v>22020703</v>
      </c>
      <c r="C229" t="str">
        <f ca="1"/>
        <v>백성인</v>
      </c>
      <c r="D229" t="str">
        <f ca="1"/>
        <v>연구본부</v>
      </c>
      <c r="E229" t="str">
        <f ca="1"/>
        <v>임상연구팀</v>
      </c>
      <c r="F229" t="str">
        <f ca="1"/>
        <v>임상시험</v>
      </c>
      <c r="G229" t="str">
        <f ca="1"/>
        <v>Temporary</v>
      </c>
      <c r="H229" t="str">
        <f ca="1"/>
        <v>계약직</v>
      </c>
      <c r="I229">
        <f ca="1"/>
        <v>44599</v>
      </c>
      <c r="J229">
        <f ca="1"/>
        <v>44599</v>
      </c>
      <c r="K229" t="str">
        <f ca="1"/>
        <v>계약직</v>
      </c>
      <c r="L229" t="str">
        <f ca="1"/>
        <v>사무직</v>
      </c>
      <c r="M229" t="str">
        <f ca="1"/>
        <v>퇴직</v>
      </c>
      <c r="N229" t="str">
        <f ca="1"/>
        <v>980410-1524919</v>
      </c>
      <c r="O229">
        <f ca="1"/>
        <v>35895</v>
      </c>
      <c r="P229" t="str">
        <f ca="1"/>
        <v>남</v>
      </c>
      <c r="Q229">
        <f ca="1"/>
        <v>28</v>
      </c>
      <c r="R229">
        <f ca="1"/>
        <v>26</v>
      </c>
      <c r="S229" t="str">
        <f ca="1"/>
        <v>010-2539-4706</v>
      </c>
      <c r="T229" t="str">
        <f ca="1"/>
        <v>서울특별시 은평구 불광로22길 16 (대신리젠츠) 201호</v>
      </c>
      <c r="U229">
        <f ca="1"/>
        <v>0</v>
      </c>
    </row>
    <row r="230" spans="1:21" x14ac:dyDescent="0.3">
      <c r="A230">
        <f ca="1"/>
        <v>229</v>
      </c>
      <c r="B230">
        <f ca="1"/>
        <v>22070401</v>
      </c>
      <c r="C230" t="str">
        <f ca="1"/>
        <v>우상아</v>
      </c>
      <c r="D230" t="str">
        <f ca="1"/>
        <v>연구본부</v>
      </c>
      <c r="E230" t="str">
        <f ca="1"/>
        <v>TechOps팀</v>
      </c>
      <c r="F230" t="str">
        <f ca="1"/>
        <v>데이터검수</v>
      </c>
      <c r="G230" t="str">
        <f ca="1"/>
        <v>Temporary</v>
      </c>
      <c r="H230" t="str">
        <f ca="1"/>
        <v>계약직</v>
      </c>
      <c r="I230">
        <f ca="1"/>
        <v>44746</v>
      </c>
      <c r="J230">
        <f ca="1"/>
        <v>44746</v>
      </c>
      <c r="K230" t="str">
        <f ca="1"/>
        <v>계약직</v>
      </c>
      <c r="L230" t="str">
        <f ca="1"/>
        <v>사무직</v>
      </c>
      <c r="M230" t="str">
        <f ca="1"/>
        <v>퇴직</v>
      </c>
      <c r="N230" t="str">
        <f ca="1"/>
        <v>930412-2164011</v>
      </c>
      <c r="O230">
        <f ca="1"/>
        <v>34071</v>
      </c>
      <c r="P230" t="str">
        <f ca="1"/>
        <v>여</v>
      </c>
      <c r="Q230">
        <f ca="1"/>
        <v>33</v>
      </c>
      <c r="R230">
        <f ca="1"/>
        <v>31</v>
      </c>
      <c r="S230" t="str">
        <f ca="1"/>
        <v>010-5721-1370</v>
      </c>
      <c r="T230" t="str">
        <f ca="1"/>
        <v>경기도 수원시 장안구 파장천로66번길 106-9 304호</v>
      </c>
      <c r="U230" t="str">
        <f ca="1"/>
        <v>sangah@neurophet.com</v>
      </c>
    </row>
    <row r="231" spans="1:21" x14ac:dyDescent="0.3">
      <c r="A231">
        <f ca="1"/>
        <v>230</v>
      </c>
      <c r="B231">
        <f ca="1"/>
        <v>20030102</v>
      </c>
      <c r="C231" t="str">
        <f ca="1"/>
        <v>변종원</v>
      </c>
      <c r="D231" t="str">
        <f ca="1"/>
        <v>프로덕트본부</v>
      </c>
      <c r="E231" t="str">
        <f ca="1"/>
        <v>Backend팀</v>
      </c>
      <c r="F231" t="str">
        <f ca="1"/>
        <v>서버개발</v>
      </c>
      <c r="G231" t="str">
        <f ca="1"/>
        <v>Member</v>
      </c>
      <c r="H231" t="str">
        <f ca="1"/>
        <v>멤버</v>
      </c>
      <c r="I231">
        <f ca="1"/>
        <v>43891</v>
      </c>
      <c r="J231">
        <f ca="1"/>
        <v>43891</v>
      </c>
      <c r="K231" t="str">
        <f ca="1"/>
        <v>정규직</v>
      </c>
      <c r="L231" t="str">
        <f ca="1"/>
        <v>연구직</v>
      </c>
      <c r="M231" t="str">
        <f ca="1"/>
        <v>퇴직</v>
      </c>
      <c r="N231" t="str">
        <f ca="1"/>
        <v>701001-1029429</v>
      </c>
      <c r="O231">
        <f ca="1"/>
        <v>25842</v>
      </c>
      <c r="P231" t="str">
        <f ca="1"/>
        <v>남</v>
      </c>
      <c r="Q231">
        <f ca="1"/>
        <v>56</v>
      </c>
      <c r="R231">
        <f ca="1"/>
        <v>54</v>
      </c>
      <c r="S231" t="str">
        <f ca="1"/>
        <v>010-5040-0011</v>
      </c>
      <c r="T231" t="str">
        <f ca="1"/>
        <v>경기도 고양시 일산동구 중산로 206 (중산동, 중산마을) 704동 403호</v>
      </c>
      <c r="U231" t="str">
        <f ca="1"/>
        <v>martin.byun@neurophet.com</v>
      </c>
    </row>
    <row r="232" spans="1:21" x14ac:dyDescent="0.3">
      <c r="A232">
        <f ca="1"/>
        <v>231</v>
      </c>
      <c r="B232">
        <f ca="1"/>
        <v>20070101</v>
      </c>
      <c r="C232" t="str">
        <f ca="1"/>
        <v>이국행</v>
      </c>
      <c r="D232" t="str">
        <f ca="1"/>
        <v>프로덕트본부</v>
      </c>
      <c r="E232" t="str">
        <f ca="1"/>
        <v>Backend팀</v>
      </c>
      <c r="F232" t="str">
        <f ca="1"/>
        <v>서버개발</v>
      </c>
      <c r="G232" t="str">
        <f ca="1"/>
        <v>Member</v>
      </c>
      <c r="H232" t="str">
        <f ca="1"/>
        <v>멤버</v>
      </c>
      <c r="I232">
        <f ca="1"/>
        <v>44013</v>
      </c>
      <c r="J232">
        <f ca="1"/>
        <v>44013</v>
      </c>
      <c r="K232" t="str">
        <f ca="1"/>
        <v>정규직</v>
      </c>
      <c r="L232" t="str">
        <f ca="1"/>
        <v>연구직</v>
      </c>
      <c r="M232" t="str">
        <f ca="1"/>
        <v>퇴직</v>
      </c>
      <c r="N232" t="str">
        <f ca="1"/>
        <v>740925-1654910</v>
      </c>
      <c r="O232">
        <f ca="1"/>
        <v>27297</v>
      </c>
      <c r="P232" t="str">
        <f ca="1"/>
        <v>남</v>
      </c>
      <c r="Q232">
        <f ca="1"/>
        <v>52</v>
      </c>
      <c r="R232">
        <f ca="1"/>
        <v>50</v>
      </c>
      <c r="S232" t="str">
        <f ca="1"/>
        <v>010-5472-5956</v>
      </c>
      <c r="T232" t="str">
        <f ca="1"/>
        <v>서울특별시 강동구 아리수로 50길 50, 102동 302호</v>
      </c>
      <c r="U232" t="str">
        <f ca="1"/>
        <v xml:space="preserve">khlee@neurophet.com      </v>
      </c>
    </row>
    <row r="233" spans="1:21" x14ac:dyDescent="0.3">
      <c r="A233">
        <f ca="1"/>
        <v>232</v>
      </c>
      <c r="B233">
        <f ca="1"/>
        <v>20070102</v>
      </c>
      <c r="C233" t="str">
        <f ca="1"/>
        <v>권혜은</v>
      </c>
      <c r="D233" t="str">
        <f ca="1"/>
        <v>프로덕트본부</v>
      </c>
      <c r="E233" t="str">
        <f ca="1"/>
        <v>Backend팀</v>
      </c>
      <c r="F233" t="str">
        <f ca="1"/>
        <v>서버개발</v>
      </c>
      <c r="G233" t="str">
        <f ca="1"/>
        <v>Member</v>
      </c>
      <c r="H233" t="str">
        <f ca="1"/>
        <v>멤버</v>
      </c>
      <c r="I233">
        <f ca="1"/>
        <v>44013</v>
      </c>
      <c r="J233">
        <f ca="1"/>
        <v>44013</v>
      </c>
      <c r="K233" t="str">
        <f ca="1"/>
        <v>정규직</v>
      </c>
      <c r="L233" t="str">
        <f ca="1"/>
        <v>연구직</v>
      </c>
      <c r="M233" t="str">
        <f ca="1"/>
        <v>퇴직</v>
      </c>
      <c r="N233" t="str">
        <f ca="1"/>
        <v>770125-2812415</v>
      </c>
      <c r="O233">
        <f ca="1"/>
        <v>28150</v>
      </c>
      <c r="P233" t="str">
        <f ca="1"/>
        <v>여</v>
      </c>
      <c r="Q233">
        <f ca="1"/>
        <v>49</v>
      </c>
      <c r="R233">
        <f ca="1"/>
        <v>48</v>
      </c>
      <c r="S233" t="str">
        <f ca="1"/>
        <v>010-2012-5023</v>
      </c>
      <c r="T233" t="str">
        <f ca="1"/>
        <v>서울특별시 노원구 섬밭로 123 301-1406</v>
      </c>
      <c r="U233" t="str">
        <f ca="1"/>
        <v xml:space="preserve">hyeeun@neurophet.com      </v>
      </c>
    </row>
    <row r="234" spans="1:21" x14ac:dyDescent="0.3">
      <c r="A234">
        <f ca="1"/>
        <v>233</v>
      </c>
      <c r="B234">
        <f ca="1"/>
        <v>21121301</v>
      </c>
      <c r="C234" t="str">
        <f ca="1"/>
        <v>조성자</v>
      </c>
      <c r="D234" t="str">
        <f ca="1"/>
        <v>연구본부</v>
      </c>
      <c r="E234" t="str">
        <f ca="1"/>
        <v>의학팀</v>
      </c>
      <c r="F234" t="str">
        <f ca="1"/>
        <v>Medical Direct</v>
      </c>
      <c r="G234" t="str">
        <f ca="1"/>
        <v>Member</v>
      </c>
      <c r="H234" t="str">
        <f ca="1"/>
        <v>멤버</v>
      </c>
      <c r="I234">
        <f ca="1"/>
        <v>44543</v>
      </c>
      <c r="J234">
        <f ca="1"/>
        <v>44543</v>
      </c>
      <c r="K234" t="str">
        <f ca="1"/>
        <v>정규직</v>
      </c>
      <c r="L234" t="str">
        <f ca="1"/>
        <v>연구직</v>
      </c>
      <c r="M234" t="str">
        <f ca="1"/>
        <v>퇴직</v>
      </c>
      <c r="N234" t="str">
        <f ca="1"/>
        <v>640603-2068715</v>
      </c>
      <c r="O234">
        <f ca="1"/>
        <v>23531</v>
      </c>
      <c r="P234" t="str">
        <f ca="1"/>
        <v>여</v>
      </c>
      <c r="Q234">
        <f ca="1"/>
        <v>62</v>
      </c>
      <c r="R234">
        <f ca="1"/>
        <v>60</v>
      </c>
      <c r="S234" t="str">
        <f ca="1"/>
        <v>010-5311-6804</v>
      </c>
      <c r="T234" t="str">
        <f ca="1"/>
        <v>서울특별시 관악구 관악로 263 관악브라운스톤 102동 302호</v>
      </c>
      <c r="U234" t="str">
        <f ca="1"/>
        <v>sungjacho@neurophet.com</v>
      </c>
    </row>
    <row r="235" spans="1:21" x14ac:dyDescent="0.3">
      <c r="A235">
        <f ca="1"/>
        <v>234</v>
      </c>
      <c r="B235">
        <f ca="1"/>
        <v>21090101</v>
      </c>
      <c r="C235" t="str">
        <f ca="1"/>
        <v>변인철</v>
      </c>
      <c r="D235" t="str">
        <f ca="1"/>
        <v>비즈니스본부</v>
      </c>
      <c r="E235" t="str">
        <f ca="1"/>
        <v>세일즈팀</v>
      </c>
      <c r="F235" t="str">
        <f ca="1"/>
        <v>영업</v>
      </c>
      <c r="G235" t="str">
        <f ca="1"/>
        <v>Lead</v>
      </c>
      <c r="H235" t="str">
        <f ca="1"/>
        <v>팀리드</v>
      </c>
      <c r="I235">
        <f ca="1"/>
        <v>44440</v>
      </c>
      <c r="J235">
        <f ca="1"/>
        <v>44440</v>
      </c>
      <c r="K235" t="str">
        <f ca="1"/>
        <v>정규직</v>
      </c>
      <c r="L235" t="str">
        <f ca="1"/>
        <v>사무직</v>
      </c>
      <c r="M235" t="str">
        <f ca="1"/>
        <v>퇴직</v>
      </c>
      <c r="N235" t="str">
        <f ca="1"/>
        <v>830102-1928212</v>
      </c>
      <c r="O235">
        <f ca="1"/>
        <v>30318</v>
      </c>
      <c r="P235" t="str">
        <f ca="1"/>
        <v>남</v>
      </c>
      <c r="Q235">
        <f ca="1"/>
        <v>43</v>
      </c>
      <c r="R235">
        <f ca="1"/>
        <v>42</v>
      </c>
      <c r="S235" t="str">
        <f ca="1"/>
        <v>010-2042-7898</v>
      </c>
      <c r="T235" t="str">
        <f ca="1"/>
        <v>서울특별시 마포구 상암동 월드컵파크4단지 401동402호</v>
      </c>
      <c r="U235" t="str">
        <f ca="1"/>
        <v>icbyun@neurophet.com</v>
      </c>
    </row>
    <row r="236" spans="1:21" x14ac:dyDescent="0.3">
      <c r="A236">
        <f ca="1"/>
        <v>235</v>
      </c>
      <c r="B236">
        <f ca="1"/>
        <v>20030104</v>
      </c>
      <c r="C236" t="str">
        <f ca="1"/>
        <v>백선우</v>
      </c>
      <c r="D236" t="str">
        <f ca="1"/>
        <v>비즈니스본부</v>
      </c>
      <c r="E236" t="str">
        <f ca="1"/>
        <v>세일즈팀</v>
      </c>
      <c r="F236" t="str">
        <f ca="1"/>
        <v>영업</v>
      </c>
      <c r="G236" t="str">
        <f ca="1"/>
        <v>Member</v>
      </c>
      <c r="H236" t="str">
        <f ca="1"/>
        <v>멤버</v>
      </c>
      <c r="I236">
        <f ca="1"/>
        <v>43891</v>
      </c>
      <c r="J236">
        <f ca="1"/>
        <v>43891</v>
      </c>
      <c r="K236" t="str">
        <f ca="1"/>
        <v>정규직</v>
      </c>
      <c r="L236" t="str">
        <f ca="1"/>
        <v>사무직</v>
      </c>
      <c r="M236" t="str">
        <f ca="1"/>
        <v>퇴직</v>
      </c>
      <c r="N236" t="str">
        <f ca="1"/>
        <v>820125-1226710</v>
      </c>
      <c r="O236">
        <f ca="1"/>
        <v>29976</v>
      </c>
      <c r="P236" t="str">
        <f ca="1"/>
        <v>남</v>
      </c>
      <c r="Q236">
        <f ca="1"/>
        <v>44</v>
      </c>
      <c r="R236">
        <f ca="1"/>
        <v>43</v>
      </c>
      <c r="S236" t="str">
        <f ca="1"/>
        <v>010-4525-2187</v>
      </c>
      <c r="T236" t="str">
        <f ca="1"/>
        <v>경기도 고양시 일산서구 일산로 488 후곡13단지 1301동 207호</v>
      </c>
      <c r="U236" t="str">
        <f ca="1"/>
        <v>sunwoo.paek@neurophet.com</v>
      </c>
    </row>
    <row r="237" spans="1:21" x14ac:dyDescent="0.3">
      <c r="A237">
        <f ca="1"/>
        <v>236</v>
      </c>
      <c r="B237">
        <f ca="1"/>
        <v>21091304</v>
      </c>
      <c r="C237" t="str">
        <f ca="1"/>
        <v>임창대</v>
      </c>
      <c r="D237" t="str">
        <f ca="1"/>
        <v>연구본부</v>
      </c>
      <c r="E237" t="str">
        <f ca="1"/>
        <v>TechOps팀</v>
      </c>
      <c r="F237" t="str">
        <f ca="1"/>
        <v>데이터검수</v>
      </c>
      <c r="G237" t="str">
        <f ca="1"/>
        <v>Temporary</v>
      </c>
      <c r="H237" t="str">
        <f ca="1"/>
        <v>계약직</v>
      </c>
      <c r="I237">
        <f ca="1"/>
        <v>44452</v>
      </c>
      <c r="J237">
        <f ca="1"/>
        <v>44452</v>
      </c>
      <c r="K237" t="str">
        <f ca="1"/>
        <v>계약직</v>
      </c>
      <c r="L237" t="str">
        <f ca="1"/>
        <v>사무직</v>
      </c>
      <c r="M237" t="str">
        <f ca="1"/>
        <v>퇴직</v>
      </c>
      <c r="N237" t="str">
        <f ca="1"/>
        <v>981201-1330919</v>
      </c>
      <c r="O237">
        <f ca="1"/>
        <v>36130</v>
      </c>
      <c r="P237" t="str">
        <f ca="1"/>
        <v>남</v>
      </c>
      <c r="Q237">
        <f ca="1"/>
        <v>28</v>
      </c>
      <c r="R237">
        <f ca="1"/>
        <v>26</v>
      </c>
      <c r="S237" t="str">
        <f ca="1"/>
        <v>010-3191-1146</v>
      </c>
      <c r="T237" t="str">
        <f ca="1"/>
        <v xml:space="preserve">서울특별시 중랑구 면목로80길6 400호(면목동,씨티플러스)    </v>
      </c>
      <c r="U237" t="str">
        <f ca="1"/>
        <v>changdae.yim@neurophet.com</v>
      </c>
    </row>
    <row r="238" spans="1:21" x14ac:dyDescent="0.3">
      <c r="A238">
        <f ca="1"/>
        <v>237</v>
      </c>
      <c r="B238">
        <f ca="1"/>
        <v>22032101</v>
      </c>
      <c r="C238" t="str">
        <f ca="1"/>
        <v>유지영</v>
      </c>
      <c r="D238" t="str">
        <f ca="1"/>
        <v>연구본부</v>
      </c>
      <c r="E238" t="str">
        <f ca="1"/>
        <v>TechOps팀</v>
      </c>
      <c r="F238" t="str">
        <f ca="1"/>
        <v>데이터검수</v>
      </c>
      <c r="G238" t="str">
        <f ca="1"/>
        <v>Temporary</v>
      </c>
      <c r="H238" t="str">
        <f ca="1"/>
        <v>계약직</v>
      </c>
      <c r="I238">
        <f ca="1"/>
        <v>44641</v>
      </c>
      <c r="J238">
        <f ca="1"/>
        <v>44641</v>
      </c>
      <c r="K238" t="str">
        <f ca="1"/>
        <v>계약직</v>
      </c>
      <c r="L238" t="str">
        <f ca="1"/>
        <v>사무직</v>
      </c>
      <c r="M238" t="str">
        <f ca="1"/>
        <v>퇴직</v>
      </c>
      <c r="N238" t="str">
        <f ca="1"/>
        <v>961017-2051125</v>
      </c>
      <c r="O238">
        <f ca="1"/>
        <v>35355</v>
      </c>
      <c r="P238" t="str">
        <f ca="1"/>
        <v>여</v>
      </c>
      <c r="Q238">
        <f ca="1"/>
        <v>30</v>
      </c>
      <c r="R238">
        <f ca="1"/>
        <v>28</v>
      </c>
      <c r="S238" t="str">
        <f ca="1"/>
        <v>010-2734-2881</v>
      </c>
      <c r="T238" t="str">
        <f ca="1"/>
        <v>서울특별시 은평구 진흥로 84-1 태경쉐르빌 501호</v>
      </c>
      <c r="U238" t="str">
        <f ca="1"/>
        <v>jiyeong.yoo@neurophet.com</v>
      </c>
    </row>
    <row r="239" spans="1:21" x14ac:dyDescent="0.3">
      <c r="A239">
        <f ca="1"/>
        <v>238</v>
      </c>
      <c r="B239">
        <f ca="1"/>
        <v>22040402</v>
      </c>
      <c r="C239" t="str">
        <f ca="1"/>
        <v>전은실</v>
      </c>
      <c r="D239" t="str">
        <f ca="1"/>
        <v>연구본부</v>
      </c>
      <c r="E239" t="str">
        <f ca="1"/>
        <v>TechOps팀</v>
      </c>
      <c r="F239" t="str">
        <f ca="1"/>
        <v>데이터검수</v>
      </c>
      <c r="G239" t="str">
        <f ca="1"/>
        <v>Temporary</v>
      </c>
      <c r="H239" t="str">
        <f ca="1"/>
        <v>계약직</v>
      </c>
      <c r="I239">
        <f ca="1"/>
        <v>44655</v>
      </c>
      <c r="J239">
        <f ca="1"/>
        <v>44655</v>
      </c>
      <c r="K239" t="str">
        <f ca="1"/>
        <v>계약직</v>
      </c>
      <c r="L239" t="str">
        <f ca="1"/>
        <v>사무직</v>
      </c>
      <c r="M239" t="str">
        <f ca="1"/>
        <v>퇴직</v>
      </c>
      <c r="N239" t="str">
        <f ca="1"/>
        <v>980810-2018114</v>
      </c>
      <c r="O239">
        <f ca="1"/>
        <v>36017</v>
      </c>
      <c r="P239" t="str">
        <f ca="1"/>
        <v>여</v>
      </c>
      <c r="Q239">
        <f ca="1"/>
        <v>28</v>
      </c>
      <c r="R239">
        <f ca="1"/>
        <v>26</v>
      </c>
      <c r="S239" t="str">
        <f ca="1"/>
        <v>010-4943-0992</v>
      </c>
      <c r="T239" t="str">
        <f ca="1"/>
        <v>경기도 양주시 삼숭로58번길 141 자이아파트 707동 1203호</v>
      </c>
      <c r="U239" t="str">
        <f ca="1"/>
        <v>eunsil.jeon@neurophet.com</v>
      </c>
    </row>
    <row r="240" spans="1:21" x14ac:dyDescent="0.3">
      <c r="A240">
        <f ca="1"/>
        <v>239</v>
      </c>
      <c r="B240">
        <f ca="1"/>
        <v>22041103</v>
      </c>
      <c r="C240" t="str">
        <f ca="1"/>
        <v>이재혁</v>
      </c>
      <c r="D240" t="str">
        <f ca="1"/>
        <v>연구본부</v>
      </c>
      <c r="E240" t="str">
        <f ca="1"/>
        <v>TechOps팀</v>
      </c>
      <c r="F240" t="str">
        <f ca="1"/>
        <v>데이터검수</v>
      </c>
      <c r="G240" t="str">
        <f ca="1"/>
        <v>Temporary</v>
      </c>
      <c r="H240" t="str">
        <f ca="1"/>
        <v>계약직</v>
      </c>
      <c r="I240">
        <f ca="1"/>
        <v>44662</v>
      </c>
      <c r="J240">
        <f ca="1"/>
        <v>44662</v>
      </c>
      <c r="K240" t="str">
        <f ca="1"/>
        <v>계약직</v>
      </c>
      <c r="L240" t="str">
        <f ca="1"/>
        <v>사무직</v>
      </c>
      <c r="M240" t="str">
        <f ca="1"/>
        <v>퇴직</v>
      </c>
      <c r="N240" t="str">
        <f ca="1"/>
        <v>000321-3409913</v>
      </c>
      <c r="O240">
        <f ca="1"/>
        <v>36606</v>
      </c>
      <c r="P240" t="str">
        <f ca="1"/>
        <v>남</v>
      </c>
      <c r="Q240">
        <f ca="1"/>
        <v>26</v>
      </c>
      <c r="R240">
        <f ca="1"/>
        <v>25</v>
      </c>
      <c r="S240" t="str">
        <f ca="1"/>
        <v>010-2950-4757</v>
      </c>
      <c r="T240" t="str">
        <f ca="1"/>
        <v>서울특별시 강동구 양재대로 1706, 8동 1804호</v>
      </c>
      <c r="U240" t="str">
        <f ca="1"/>
        <v>jaehyuk.lee@neurophet.com</v>
      </c>
    </row>
    <row r="241" spans="1:21" x14ac:dyDescent="0.3">
      <c r="A241">
        <f ca="1"/>
        <v>240</v>
      </c>
      <c r="B241">
        <f ca="1"/>
        <v>22040401</v>
      </c>
      <c r="C241" t="str">
        <f ca="1"/>
        <v>이준혁</v>
      </c>
      <c r="D241" t="str">
        <f ca="1"/>
        <v>연구본부</v>
      </c>
      <c r="E241" t="str">
        <f ca="1"/>
        <v>TechOps팀</v>
      </c>
      <c r="F241" t="str">
        <f ca="1"/>
        <v>데이터검수</v>
      </c>
      <c r="G241" t="str">
        <f ca="1"/>
        <v>Temporary</v>
      </c>
      <c r="H241" t="str">
        <f ca="1"/>
        <v>계약직</v>
      </c>
      <c r="I241">
        <f ca="1"/>
        <v>44655</v>
      </c>
      <c r="J241">
        <f ca="1"/>
        <v>44655</v>
      </c>
      <c r="K241" t="str">
        <f ca="1"/>
        <v>계약직</v>
      </c>
      <c r="L241" t="str">
        <f ca="1"/>
        <v>사무직</v>
      </c>
      <c r="M241" t="str">
        <f ca="1"/>
        <v>퇴직</v>
      </c>
      <c r="N241" t="str">
        <f ca="1"/>
        <v>980705-1816718</v>
      </c>
      <c r="O241">
        <f ca="1"/>
        <v>35981</v>
      </c>
      <c r="P241" t="str">
        <f ca="1"/>
        <v>남</v>
      </c>
      <c r="Q241">
        <f ca="1"/>
        <v>28</v>
      </c>
      <c r="R241">
        <f ca="1"/>
        <v>26</v>
      </c>
      <c r="S241" t="str">
        <f ca="1"/>
        <v>010-9676-1715</v>
      </c>
      <c r="T241" t="str">
        <f ca="1"/>
        <v>서울특별시 도봉구 도봉로109가길 5 301호</v>
      </c>
      <c r="U241" t="str">
        <f ca="1"/>
        <v>junhyeok.lee@neurophet.com</v>
      </c>
    </row>
    <row r="242" spans="1:21" x14ac:dyDescent="0.3">
      <c r="A242">
        <f ca="1"/>
        <v>241</v>
      </c>
      <c r="B242">
        <f ca="1"/>
        <v>21030801</v>
      </c>
      <c r="C242" t="str">
        <f ca="1"/>
        <v>김동영</v>
      </c>
      <c r="D242" t="str">
        <f ca="1"/>
        <v>비즈니스본부</v>
      </c>
      <c r="E242" t="str">
        <f ca="1"/>
        <v>세일즈팀</v>
      </c>
      <c r="F242" t="str">
        <f ca="1"/>
        <v>영업</v>
      </c>
      <c r="G242" t="str">
        <f ca="1"/>
        <v>Member</v>
      </c>
      <c r="H242" t="str">
        <f ca="1"/>
        <v>멤버</v>
      </c>
      <c r="I242">
        <f ca="1"/>
        <v>44263</v>
      </c>
      <c r="J242">
        <f ca="1"/>
        <v>44263</v>
      </c>
      <c r="K242" t="str">
        <f ca="1"/>
        <v>정규직</v>
      </c>
      <c r="L242" t="str">
        <f ca="1"/>
        <v>사무직</v>
      </c>
      <c r="M242" t="str">
        <f ca="1"/>
        <v>퇴직</v>
      </c>
      <c r="N242" t="str">
        <f ca="1"/>
        <v>880929-1020826</v>
      </c>
      <c r="O242">
        <f ca="1"/>
        <v>32415</v>
      </c>
      <c r="P242" t="str">
        <f ca="1"/>
        <v>남</v>
      </c>
      <c r="Q242">
        <f ca="1"/>
        <v>38</v>
      </c>
      <c r="R242">
        <f ca="1"/>
        <v>36</v>
      </c>
      <c r="S242" t="str">
        <f ca="1"/>
        <v>010-6688-0929</v>
      </c>
      <c r="T242" t="str">
        <f ca="1"/>
        <v>서울시 관악구 보라매로 6길27 청원그린빌 401호</v>
      </c>
      <c r="U242" t="str">
        <f ca="1"/>
        <v>dongyoung.kim@neurophet.com</v>
      </c>
    </row>
    <row r="243" spans="1:21" x14ac:dyDescent="0.3">
      <c r="A243">
        <f ca="1"/>
        <v>242</v>
      </c>
      <c r="B243">
        <f ca="1"/>
        <v>20090103</v>
      </c>
      <c r="C243" t="str">
        <f ca="1"/>
        <v>김지현</v>
      </c>
      <c r="D243" t="str">
        <f ca="1"/>
        <v>연구본부</v>
      </c>
      <c r="E243" t="str">
        <f ca="1"/>
        <v>TechOps팀</v>
      </c>
      <c r="F243" t="str">
        <f ca="1"/>
        <v>레이블링</v>
      </c>
      <c r="G243" t="str">
        <f ca="1"/>
        <v>Member</v>
      </c>
      <c r="H243" t="str">
        <f ca="1"/>
        <v>멤버</v>
      </c>
      <c r="I243">
        <f ca="1"/>
        <v>44228</v>
      </c>
      <c r="J243">
        <f ca="1"/>
        <v>44075</v>
      </c>
      <c r="K243" t="str">
        <f ca="1"/>
        <v>정규직</v>
      </c>
      <c r="L243" t="str">
        <f ca="1"/>
        <v>연구직</v>
      </c>
      <c r="M243" t="str">
        <f ca="1"/>
        <v>퇴직</v>
      </c>
      <c r="N243" t="str">
        <f ca="1"/>
        <v>970918-2047119</v>
      </c>
      <c r="O243">
        <f ca="1"/>
        <v>35691</v>
      </c>
      <c r="P243" t="str">
        <f ca="1"/>
        <v>여</v>
      </c>
      <c r="Q243">
        <f ca="1"/>
        <v>29</v>
      </c>
      <c r="R243">
        <f ca="1"/>
        <v>27</v>
      </c>
      <c r="S243" t="str">
        <f ca="1"/>
        <v>010-7177-2546</v>
      </c>
      <c r="T243" t="str">
        <f ca="1"/>
        <v>서울시 마포구 월드컵북로 12길 24-4</v>
      </c>
      <c r="U243" t="str">
        <f ca="1"/>
        <v>jhkim@neurophet.com</v>
      </c>
    </row>
    <row r="244" spans="1:21" x14ac:dyDescent="0.3">
      <c r="A244">
        <f ca="1"/>
        <v>243</v>
      </c>
      <c r="B244">
        <f ca="1"/>
        <v>20030101</v>
      </c>
      <c r="C244" t="str">
        <f ca="1"/>
        <v>박재형</v>
      </c>
      <c r="D244" t="str">
        <f ca="1"/>
        <v>비즈니스본부</v>
      </c>
      <c r="E244" t="str">
        <f ca="1"/>
        <v>비즈니스본부</v>
      </c>
      <c r="F244" t="str">
        <f ca="1"/>
        <v>CBO</v>
      </c>
      <c r="G244" t="str">
        <f ca="1"/>
        <v>CBO</v>
      </c>
      <c r="H244" t="str">
        <f ca="1"/>
        <v>C-LEVEL</v>
      </c>
      <c r="I244">
        <f ca="1"/>
        <v>43891</v>
      </c>
      <c r="J244">
        <f ca="1"/>
        <v>43891</v>
      </c>
      <c r="K244" t="str">
        <f ca="1"/>
        <v>정규직</v>
      </c>
      <c r="L244" t="str">
        <f ca="1"/>
        <v>사무직</v>
      </c>
      <c r="M244" t="str">
        <f ca="1"/>
        <v>퇴직</v>
      </c>
      <c r="N244" t="str">
        <f ca="1"/>
        <v>740325-1080719</v>
      </c>
      <c r="O244">
        <f ca="1"/>
        <v>27113</v>
      </c>
      <c r="P244" t="str">
        <f ca="1"/>
        <v>남</v>
      </c>
      <c r="Q244">
        <f ca="1"/>
        <v>52</v>
      </c>
      <c r="R244">
        <f ca="1"/>
        <v>51</v>
      </c>
      <c r="S244" t="str">
        <f ca="1"/>
        <v>010-5260-7632</v>
      </c>
      <c r="T244" t="str">
        <f ca="1"/>
        <v>서울특별시 동작구 노량진동 332번지 쌍용예가 101-102</v>
      </c>
      <c r="U244" t="str">
        <f ca="1"/>
        <v>jh.park@neurophet.com</v>
      </c>
    </row>
    <row r="245" spans="1:21" x14ac:dyDescent="0.3">
      <c r="A245">
        <f ca="1"/>
        <v>244</v>
      </c>
      <c r="B245">
        <f ca="1"/>
        <v>21091303</v>
      </c>
      <c r="C245" t="str">
        <f ca="1"/>
        <v>김은비</v>
      </c>
      <c r="D245" t="str">
        <f ca="1"/>
        <v>연구본부</v>
      </c>
      <c r="E245" t="str">
        <f ca="1"/>
        <v>TechOps팀</v>
      </c>
      <c r="F245" t="str">
        <f ca="1"/>
        <v>레이블링</v>
      </c>
      <c r="G245" t="str">
        <f ca="1"/>
        <v>Temporary</v>
      </c>
      <c r="H245" t="str">
        <f ca="1"/>
        <v>계약직</v>
      </c>
      <c r="I245">
        <f ca="1"/>
        <v>44452</v>
      </c>
      <c r="J245">
        <f ca="1"/>
        <v>44452</v>
      </c>
      <c r="K245" t="str">
        <f ca="1"/>
        <v>계약직</v>
      </c>
      <c r="L245" t="str">
        <f ca="1"/>
        <v>사무직</v>
      </c>
      <c r="M245" t="str">
        <f ca="1"/>
        <v>퇴직</v>
      </c>
      <c r="N245" t="str">
        <f ca="1"/>
        <v>980608-2194618</v>
      </c>
      <c r="O245">
        <f ca="1"/>
        <v>35954</v>
      </c>
      <c r="P245" t="str">
        <f ca="1"/>
        <v>여</v>
      </c>
      <c r="Q245">
        <f ca="1"/>
        <v>28</v>
      </c>
      <c r="R245">
        <f ca="1"/>
        <v>26</v>
      </c>
      <c r="S245">
        <f ca="1"/>
        <v>0</v>
      </c>
      <c r="T245" t="str">
        <f ca="1"/>
        <v>경기 안양시 동안구 일동로 172, 202호</v>
      </c>
      <c r="U245">
        <f ca="1"/>
        <v>0</v>
      </c>
    </row>
    <row r="246" spans="1:21" x14ac:dyDescent="0.3">
      <c r="A246">
        <f ca="1"/>
        <v>245</v>
      </c>
      <c r="B246">
        <f ca="1"/>
        <v>21120101</v>
      </c>
      <c r="C246" t="str">
        <f ca="1"/>
        <v>김승환</v>
      </c>
      <c r="D246" t="str">
        <f ca="1"/>
        <v>비즈니스본부</v>
      </c>
      <c r="E246" t="str">
        <f ca="1"/>
        <v>마케팅팀</v>
      </c>
      <c r="F246" t="str">
        <f ca="1"/>
        <v>마케팅</v>
      </c>
      <c r="G246" t="str">
        <f ca="1"/>
        <v>Member</v>
      </c>
      <c r="H246" t="str">
        <f ca="1"/>
        <v>멤버</v>
      </c>
      <c r="I246">
        <f ca="1"/>
        <v>44531</v>
      </c>
      <c r="J246">
        <f ca="1"/>
        <v>44531</v>
      </c>
      <c r="K246" t="str">
        <f ca="1"/>
        <v>정규직</v>
      </c>
      <c r="L246" t="str">
        <f ca="1"/>
        <v>사무직</v>
      </c>
      <c r="M246" t="str">
        <f ca="1"/>
        <v>퇴직</v>
      </c>
      <c r="N246" t="str">
        <f ca="1"/>
        <v>830106-1169811</v>
      </c>
      <c r="O246">
        <f ca="1"/>
        <v>30322</v>
      </c>
      <c r="P246" t="str">
        <f ca="1"/>
        <v>남</v>
      </c>
      <c r="Q246">
        <f ca="1"/>
        <v>43</v>
      </c>
      <c r="R246">
        <f ca="1"/>
        <v>42</v>
      </c>
      <c r="S246" t="str">
        <f ca="1"/>
        <v>010-9925-2244</v>
      </c>
      <c r="T246" t="str">
        <f ca="1"/>
        <v>경기도 성남시 수정구 위례광장로 97 위례자연앤센트럴자이 3202동 403호</v>
      </c>
      <c r="U246" t="str">
        <f ca="1"/>
        <v>shkim@neurophet.com</v>
      </c>
    </row>
    <row r="247" spans="1:21" x14ac:dyDescent="0.3">
      <c r="A247">
        <f ca="1"/>
        <v>246</v>
      </c>
      <c r="B247">
        <f ca="1"/>
        <v>20072701</v>
      </c>
      <c r="C247" t="str">
        <f ca="1"/>
        <v>한재우</v>
      </c>
      <c r="D247" t="str">
        <f ca="1"/>
        <v>프로덕트본부</v>
      </c>
      <c r="E247" t="str">
        <f ca="1"/>
        <v>Frontend팀</v>
      </c>
      <c r="F247" t="str">
        <f ca="1"/>
        <v>Front_End개발</v>
      </c>
      <c r="G247" t="str">
        <f ca="1"/>
        <v>Member</v>
      </c>
      <c r="H247" t="str">
        <f ca="1"/>
        <v>멤버</v>
      </c>
      <c r="I247">
        <f ca="1"/>
        <v>44039</v>
      </c>
      <c r="J247">
        <f ca="1"/>
        <v>44039</v>
      </c>
      <c r="K247" t="str">
        <f ca="1"/>
        <v>정규직</v>
      </c>
      <c r="L247" t="str">
        <f ca="1"/>
        <v>연구직</v>
      </c>
      <c r="M247" t="str">
        <f ca="1"/>
        <v>퇴직</v>
      </c>
      <c r="N247" t="str">
        <f ca="1"/>
        <v>891012-1408216</v>
      </c>
      <c r="O247">
        <f ca="1"/>
        <v>32793</v>
      </c>
      <c r="P247" t="str">
        <f ca="1"/>
        <v>남</v>
      </c>
      <c r="Q247">
        <f ca="1"/>
        <v>37</v>
      </c>
      <c r="R247">
        <f ca="1"/>
        <v>35</v>
      </c>
      <c r="S247" t="str">
        <f ca="1"/>
        <v>010-4819-1012</v>
      </c>
      <c r="T247" t="str">
        <f ca="1"/>
        <v>서울시 양천구 목동동로 50 1220동 903호</v>
      </c>
      <c r="U247" t="str">
        <f ca="1"/>
        <v>jaewoo.han@neurophet.com</v>
      </c>
    </row>
    <row r="248" spans="1:21" x14ac:dyDescent="0.3">
      <c r="A248">
        <f ca="1"/>
        <v>247</v>
      </c>
      <c r="B248" t="str">
        <f ca="1"/>
        <v>21101401</v>
      </c>
      <c r="C248" t="str">
        <f ca="1"/>
        <v>김원정</v>
      </c>
      <c r="D248" t="str">
        <f ca="1"/>
        <v>연구본부</v>
      </c>
      <c r="E248" t="str">
        <f ca="1"/>
        <v>임상연구팀</v>
      </c>
      <c r="F248" t="str">
        <f ca="1"/>
        <v>임상연구지원</v>
      </c>
      <c r="G248" t="str">
        <f ca="1"/>
        <v>Temporary</v>
      </c>
      <c r="H248" t="str">
        <f ca="1"/>
        <v>계약직</v>
      </c>
      <c r="I248">
        <f ca="1"/>
        <v>44483</v>
      </c>
      <c r="J248">
        <f ca="1"/>
        <v>44483</v>
      </c>
      <c r="K248" t="str">
        <f ca="1"/>
        <v>계약직</v>
      </c>
      <c r="L248" t="str">
        <f ca="1"/>
        <v>사무직</v>
      </c>
      <c r="M248" t="str">
        <f ca="1"/>
        <v>퇴직</v>
      </c>
      <c r="N248" t="str">
        <f ca="1"/>
        <v>880810-2081614</v>
      </c>
      <c r="O248">
        <f ca="1"/>
        <v>32365</v>
      </c>
      <c r="P248" t="str">
        <f ca="1"/>
        <v>여</v>
      </c>
      <c r="Q248">
        <f ca="1"/>
        <v>38</v>
      </c>
      <c r="R248">
        <f ca="1"/>
        <v>36</v>
      </c>
      <c r="S248">
        <f ca="1"/>
        <v>0</v>
      </c>
      <c r="T248" t="str">
        <f ca="1"/>
        <v>서울시 강동구 천호옉14길</v>
      </c>
      <c r="U248">
        <f ca="1"/>
        <v>0</v>
      </c>
    </row>
    <row r="249" spans="1:21" x14ac:dyDescent="0.3">
      <c r="A249">
        <f ca="1"/>
        <v>248</v>
      </c>
      <c r="B249">
        <f ca="1"/>
        <v>18020101</v>
      </c>
      <c r="C249" t="str">
        <f ca="1"/>
        <v>김다연</v>
      </c>
      <c r="D249" t="str">
        <f ca="1"/>
        <v>경영본부</v>
      </c>
      <c r="E249" t="str">
        <f ca="1"/>
        <v>재무팀</v>
      </c>
      <c r="F249" t="str">
        <f ca="1"/>
        <v>재무</v>
      </c>
      <c r="G249" t="str">
        <f ca="1"/>
        <v>Member</v>
      </c>
      <c r="H249" t="str">
        <f ca="1"/>
        <v>멤버</v>
      </c>
      <c r="I249">
        <f ca="1"/>
        <v>43132</v>
      </c>
      <c r="J249">
        <f ca="1"/>
        <v>43132</v>
      </c>
      <c r="K249" t="str">
        <f ca="1"/>
        <v>정규직</v>
      </c>
      <c r="L249" t="str">
        <f ca="1"/>
        <v>사무직</v>
      </c>
      <c r="M249" t="str">
        <f ca="1"/>
        <v>퇴직</v>
      </c>
      <c r="N249" t="str">
        <f ca="1"/>
        <v>900416-2158313</v>
      </c>
      <c r="O249">
        <f ca="1"/>
        <v>32979</v>
      </c>
      <c r="P249" t="str">
        <f ca="1"/>
        <v>여</v>
      </c>
      <c r="Q249">
        <f ca="1"/>
        <v>36</v>
      </c>
      <c r="R249">
        <f ca="1"/>
        <v>34</v>
      </c>
      <c r="S249" t="str">
        <f ca="1"/>
        <v>010-9557-5460</v>
      </c>
      <c r="T249" t="str">
        <f ca="1"/>
        <v>인천시 남동구 서창남순환로 190-100, 604동 1702호</v>
      </c>
      <c r="U249" t="str">
        <f ca="1"/>
        <v>dykim@neurophet.com</v>
      </c>
    </row>
    <row r="250" spans="1:21" x14ac:dyDescent="0.3">
      <c r="A250">
        <f ca="1"/>
        <v>249</v>
      </c>
      <c r="B250">
        <f ca="1"/>
        <v>20122101</v>
      </c>
      <c r="C250" t="str">
        <f ca="1"/>
        <v>홍서연</v>
      </c>
      <c r="D250" t="str">
        <f ca="1"/>
        <v>프로덕트본부</v>
      </c>
      <c r="E250" t="str">
        <f ca="1"/>
        <v>QA팀</v>
      </c>
      <c r="F250" t="str">
        <f ca="1"/>
        <v>QC</v>
      </c>
      <c r="G250" t="str">
        <f ca="1"/>
        <v>Member</v>
      </c>
      <c r="H250" t="str">
        <f ca="1"/>
        <v>멤버</v>
      </c>
      <c r="I250">
        <f ca="1"/>
        <v>44186</v>
      </c>
      <c r="J250">
        <f ca="1"/>
        <v>44186</v>
      </c>
      <c r="K250" t="str">
        <f ca="1"/>
        <v>정규직</v>
      </c>
      <c r="L250" t="str">
        <f ca="1"/>
        <v>연구직</v>
      </c>
      <c r="M250" t="str">
        <f ca="1"/>
        <v>퇴직</v>
      </c>
      <c r="N250" t="str">
        <f ca="1"/>
        <v>931012-2184534</v>
      </c>
      <c r="O250">
        <f ca="1"/>
        <v>34254</v>
      </c>
      <c r="P250" t="str">
        <f ca="1"/>
        <v>여</v>
      </c>
      <c r="Q250">
        <f ca="1"/>
        <v>33</v>
      </c>
      <c r="R250">
        <f ca="1"/>
        <v>31</v>
      </c>
      <c r="S250" t="str">
        <f ca="1"/>
        <v>010-6291-0179</v>
      </c>
      <c r="T250" t="str">
        <f ca="1"/>
        <v>경기도 부천시 소사구 안곡로4 209-807</v>
      </c>
      <c r="U250" t="str">
        <f ca="1"/>
        <v>syhong@neurophet.com</v>
      </c>
    </row>
    <row r="251" spans="1:21" x14ac:dyDescent="0.3">
      <c r="A251">
        <f ca="1"/>
        <v>250</v>
      </c>
      <c r="B251">
        <f ca="1"/>
        <v>20122102</v>
      </c>
      <c r="C251" t="str">
        <f ca="1"/>
        <v>신윤하</v>
      </c>
      <c r="D251" t="str">
        <f ca="1"/>
        <v>연구본부</v>
      </c>
      <c r="E251" t="str">
        <f ca="1"/>
        <v>Neuroimaging팀</v>
      </c>
      <c r="F251" t="str">
        <f ca="1"/>
        <v>신경망</v>
      </c>
      <c r="G251" t="str">
        <f ca="1"/>
        <v>Member</v>
      </c>
      <c r="H251" t="str">
        <f ca="1"/>
        <v>멤버</v>
      </c>
      <c r="I251">
        <f ca="1"/>
        <v>44186</v>
      </c>
      <c r="J251">
        <f ca="1"/>
        <v>44186</v>
      </c>
      <c r="K251" t="str">
        <f ca="1"/>
        <v>정규직</v>
      </c>
      <c r="L251" t="str">
        <f ca="1"/>
        <v>연구직</v>
      </c>
      <c r="M251" t="str">
        <f ca="1"/>
        <v>퇴직</v>
      </c>
      <c r="N251" t="str">
        <f ca="1"/>
        <v>880510-2055628</v>
      </c>
      <c r="O251">
        <f ca="1"/>
        <v>32273</v>
      </c>
      <c r="P251" t="str">
        <f ca="1"/>
        <v>여</v>
      </c>
      <c r="Q251">
        <f ca="1"/>
        <v>38</v>
      </c>
      <c r="R251">
        <f ca="1"/>
        <v>36</v>
      </c>
      <c r="S251" t="str">
        <f ca="1"/>
        <v>010-9122-8339</v>
      </c>
      <c r="T251" t="str">
        <f ca="1"/>
        <v>서울특별시 영등포구 선유동2로 56 205동 1105호</v>
      </c>
      <c r="U251" t="str">
        <f ca="1"/>
        <v>eyshin@neurophet.com</v>
      </c>
    </row>
    <row r="252" spans="1:21" x14ac:dyDescent="0.3">
      <c r="A252">
        <f ca="1"/>
        <v>251</v>
      </c>
      <c r="B252">
        <f ca="1"/>
        <v>21090601</v>
      </c>
      <c r="C252" t="str">
        <f ca="1"/>
        <v>남혜령</v>
      </c>
      <c r="D252" t="str">
        <f ca="1"/>
        <v>연구본부</v>
      </c>
      <c r="E252" t="str">
        <f ca="1"/>
        <v>Neuroimaging팀</v>
      </c>
      <c r="F252" t="str">
        <f ca="1"/>
        <v>신경망</v>
      </c>
      <c r="G252" t="str">
        <f ca="1"/>
        <v>Member</v>
      </c>
      <c r="H252" t="str">
        <f ca="1"/>
        <v>멤버</v>
      </c>
      <c r="I252">
        <f ca="1"/>
        <v>44445</v>
      </c>
      <c r="J252">
        <f ca="1"/>
        <v>44445</v>
      </c>
      <c r="K252" t="str">
        <f ca="1"/>
        <v>정규직</v>
      </c>
      <c r="L252" t="str">
        <f ca="1"/>
        <v>연구직</v>
      </c>
      <c r="M252" t="str">
        <f ca="1"/>
        <v>퇴직</v>
      </c>
      <c r="N252" t="str">
        <f ca="1"/>
        <v>900617-2183113</v>
      </c>
      <c r="O252">
        <f ca="1"/>
        <v>33041</v>
      </c>
      <c r="P252" t="str">
        <f ca="1"/>
        <v>여</v>
      </c>
      <c r="Q252">
        <f ca="1"/>
        <v>36</v>
      </c>
      <c r="R252">
        <f ca="1"/>
        <v>34</v>
      </c>
      <c r="S252" t="str">
        <f ca="1"/>
        <v>010-2255-2728</v>
      </c>
      <c r="T252" t="str">
        <f ca="1"/>
        <v xml:space="preserve"> 경기도 안산시 사세충열로 4길 19 꿈애그린빌 A동 401호</v>
      </c>
      <c r="U252" t="str">
        <f ca="1"/>
        <v>hrnam@neurophet.com</v>
      </c>
    </row>
    <row r="253" spans="1:21" x14ac:dyDescent="0.3">
      <c r="A253">
        <f ca="1"/>
        <v>252</v>
      </c>
      <c r="B253">
        <f ca="1"/>
        <v>20051101</v>
      </c>
      <c r="C253" t="str">
        <f ca="1"/>
        <v>고봉석</v>
      </c>
      <c r="D253" t="str">
        <f ca="1"/>
        <v>연구본부</v>
      </c>
      <c r="E253" t="str">
        <f ca="1"/>
        <v>Neuroengineering</v>
      </c>
      <c r="F253" t="str">
        <f ca="1"/>
        <v>Planning</v>
      </c>
      <c r="G253" t="str">
        <f ca="1"/>
        <v>Member</v>
      </c>
      <c r="H253" t="str">
        <f ca="1"/>
        <v>멤버</v>
      </c>
      <c r="I253">
        <f ca="1"/>
        <v>43962</v>
      </c>
      <c r="J253">
        <f ca="1"/>
        <v>43962</v>
      </c>
      <c r="K253" t="str">
        <f ca="1"/>
        <v>정규직</v>
      </c>
      <c r="L253" t="str">
        <f ca="1"/>
        <v>연구직</v>
      </c>
      <c r="M253" t="str">
        <f ca="1"/>
        <v>퇴직</v>
      </c>
      <c r="N253" t="str">
        <f ca="1"/>
        <v>930705-1019014</v>
      </c>
      <c r="O253">
        <f ca="1"/>
        <v>34155</v>
      </c>
      <c r="P253" t="str">
        <f ca="1"/>
        <v>남</v>
      </c>
      <c r="Q253">
        <f ca="1"/>
        <v>33</v>
      </c>
      <c r="R253">
        <f ca="1"/>
        <v>31</v>
      </c>
      <c r="S253" t="str">
        <f ca="1"/>
        <v>010-2573-5546</v>
      </c>
      <c r="T253" t="str">
        <f ca="1"/>
        <v>경기도 성남시 궁내동 궁내로 7번길 14 동양파크타운 111동 203호</v>
      </c>
      <c r="U253" t="str">
        <f ca="1"/>
        <v>bsko@neurophet.com</v>
      </c>
    </row>
    <row r="254" spans="1:21" x14ac:dyDescent="0.3">
      <c r="A254">
        <f ca="1"/>
        <v>253</v>
      </c>
      <c r="B254">
        <f ca="1"/>
        <v>20020101</v>
      </c>
      <c r="C254" t="str">
        <f ca="1"/>
        <v>김대희</v>
      </c>
      <c r="D254" t="str">
        <f ca="1"/>
        <v>프로덕트본부</v>
      </c>
      <c r="E254" t="str">
        <f ca="1"/>
        <v>개발팀</v>
      </c>
      <c r="F254" t="str">
        <f ca="1"/>
        <v>개발총괄</v>
      </c>
      <c r="G254" t="str">
        <f ca="1"/>
        <v>Director</v>
      </c>
      <c r="H254" t="str">
        <f ca="1"/>
        <v>멤버</v>
      </c>
      <c r="I254">
        <f ca="1"/>
        <v>43862</v>
      </c>
      <c r="J254">
        <f ca="1"/>
        <v>43862</v>
      </c>
      <c r="K254" t="str">
        <f ca="1"/>
        <v>정규직</v>
      </c>
      <c r="L254" t="str">
        <f ca="1"/>
        <v>연구직</v>
      </c>
      <c r="M254" t="str">
        <f ca="1"/>
        <v>퇴직</v>
      </c>
      <c r="N254" t="str">
        <f ca="1"/>
        <v>721223-1785418</v>
      </c>
      <c r="O254">
        <f ca="1"/>
        <v>26656</v>
      </c>
      <c r="P254" t="str">
        <f ca="1"/>
        <v>남</v>
      </c>
      <c r="Q254">
        <f ca="1"/>
        <v>54</v>
      </c>
      <c r="R254">
        <f ca="1"/>
        <v>52</v>
      </c>
      <c r="S254" t="str">
        <f ca="1"/>
        <v>010-8255-1053</v>
      </c>
      <c r="T254" t="str">
        <f ca="1"/>
        <v>경기도 부천시 중동로 64, 105동 503호(송내동, 부천중동역푸르지오아파트)</v>
      </c>
      <c r="U254" t="str">
        <f ca="1"/>
        <v>dh.kim@neurophet.com</v>
      </c>
    </row>
    <row r="255" spans="1:21" x14ac:dyDescent="0.3">
      <c r="A255">
        <f ca="1"/>
        <v>254</v>
      </c>
      <c r="B255">
        <f ca="1"/>
        <v>21050301</v>
      </c>
      <c r="C255" t="str">
        <f ca="1"/>
        <v>김지호</v>
      </c>
      <c r="D255" t="str">
        <f ca="1"/>
        <v>프로덕트본부</v>
      </c>
      <c r="E255" t="str">
        <f ca="1"/>
        <v>QA팀</v>
      </c>
      <c r="F255" t="str">
        <f ca="1"/>
        <v>QA</v>
      </c>
      <c r="G255" t="str">
        <f ca="1"/>
        <v>Lead</v>
      </c>
      <c r="H255" t="str">
        <f ca="1"/>
        <v>멤버</v>
      </c>
      <c r="I255">
        <f ca="1"/>
        <v>44319</v>
      </c>
      <c r="J255">
        <f ca="1"/>
        <v>44319</v>
      </c>
      <c r="K255" t="str">
        <f ca="1"/>
        <v>정규직</v>
      </c>
      <c r="L255" t="str">
        <f ca="1"/>
        <v>연구직</v>
      </c>
      <c r="M255" t="str">
        <f ca="1"/>
        <v>퇴직</v>
      </c>
      <c r="N255" t="str">
        <f ca="1"/>
        <v>860703-1561418</v>
      </c>
      <c r="O255">
        <f ca="1"/>
        <v>31596</v>
      </c>
      <c r="P255" t="str">
        <f ca="1"/>
        <v>남</v>
      </c>
      <c r="Q255">
        <f ca="1"/>
        <v>40</v>
      </c>
      <c r="R255">
        <f ca="1"/>
        <v>38</v>
      </c>
      <c r="S255">
        <f ca="1"/>
        <v>0</v>
      </c>
      <c r="T255" t="str">
        <f ca="1"/>
        <v xml:space="preserve">경기도 안양시 동안구 시민대로 266 (관양동, 평촌샤르망오피스텔) 1327호    </v>
      </c>
      <c r="U255">
        <f ca="1"/>
        <v>0</v>
      </c>
    </row>
    <row r="256" spans="1:21" x14ac:dyDescent="0.3">
      <c r="A256">
        <f ca="1"/>
        <v>255</v>
      </c>
      <c r="B256">
        <f ca="1"/>
        <v>21102501</v>
      </c>
      <c r="C256" t="str">
        <f ca="1"/>
        <v>장진원</v>
      </c>
      <c r="D256" t="str">
        <f ca="1"/>
        <v>사업개발본부</v>
      </c>
      <c r="E256" t="str">
        <f ca="1"/>
        <v>사업개발본부</v>
      </c>
      <c r="F256" t="str">
        <f ca="1"/>
        <v>해외사업</v>
      </c>
      <c r="G256" t="str">
        <f ca="1"/>
        <v>Member</v>
      </c>
      <c r="H256" t="str">
        <f ca="1"/>
        <v>멤버</v>
      </c>
      <c r="I256">
        <f ca="1"/>
        <v>44494</v>
      </c>
      <c r="J256">
        <f ca="1"/>
        <v>44494</v>
      </c>
      <c r="K256" t="str">
        <f ca="1"/>
        <v>정규직</v>
      </c>
      <c r="L256" t="str">
        <f ca="1"/>
        <v>사무직</v>
      </c>
      <c r="M256" t="str">
        <f ca="1"/>
        <v>퇴직</v>
      </c>
      <c r="N256" t="str">
        <f ca="1"/>
        <v>810907-5100138</v>
      </c>
      <c r="O256">
        <f ca="1"/>
        <v>29836</v>
      </c>
      <c r="P256" t="str">
        <f ca="1"/>
        <v>남</v>
      </c>
      <c r="Q256">
        <f ca="1"/>
        <v>45</v>
      </c>
      <c r="R256">
        <f ca="1"/>
        <v>43</v>
      </c>
      <c r="S256" t="str">
        <f ca="1"/>
        <v>010-2071-4447</v>
      </c>
      <c r="T256" t="str">
        <f ca="1"/>
        <v>서울특별시 용산구 원효로 63길 22 201호</v>
      </c>
      <c r="U256" t="str">
        <f ca="1"/>
        <v>jwjang@neurophet.com</v>
      </c>
    </row>
    <row r="257" spans="1:21" x14ac:dyDescent="0.3">
      <c r="A257">
        <f ca="1"/>
        <v>256</v>
      </c>
      <c r="B257">
        <f ca="1"/>
        <v>21080201</v>
      </c>
      <c r="C257" t="str">
        <f ca="1"/>
        <v>김경환</v>
      </c>
      <c r="D257" t="str">
        <f ca="1"/>
        <v>연구본부</v>
      </c>
      <c r="E257" t="str">
        <f ca="1"/>
        <v>인증</v>
      </c>
      <c r="F257" t="str">
        <f ca="1"/>
        <v>RA</v>
      </c>
      <c r="G257" t="str">
        <f ca="1"/>
        <v>Member</v>
      </c>
      <c r="H257" t="str">
        <f ca="1"/>
        <v>멤버</v>
      </c>
      <c r="I257">
        <f ca="1"/>
        <v>44410</v>
      </c>
      <c r="J257">
        <f ca="1"/>
        <v>44410</v>
      </c>
      <c r="K257" t="str">
        <f ca="1"/>
        <v>정규직</v>
      </c>
      <c r="L257" t="str">
        <f ca="1"/>
        <v>연구직</v>
      </c>
      <c r="M257" t="str">
        <f ca="1"/>
        <v>퇴직</v>
      </c>
      <c r="N257" t="str">
        <f ca="1"/>
        <v>931103-1075715</v>
      </c>
      <c r="O257">
        <f ca="1"/>
        <v>34276</v>
      </c>
      <c r="P257" t="str">
        <f ca="1"/>
        <v>남</v>
      </c>
      <c r="Q257">
        <f ca="1"/>
        <v>33</v>
      </c>
      <c r="R257">
        <f ca="1"/>
        <v>31</v>
      </c>
      <c r="S257" t="str">
        <f ca="1"/>
        <v>010-8962-8547</v>
      </c>
      <c r="T257" t="str">
        <f ca="1"/>
        <v xml:space="preserve"> 서울시 중랑구 신내역로 160, 401동 703호</v>
      </c>
      <c r="U257" t="str">
        <f ca="1"/>
        <v>kh.kim@neurophet.com</v>
      </c>
    </row>
    <row r="258" spans="1:21" x14ac:dyDescent="0.3">
      <c r="A258">
        <f ca="1"/>
        <v>257</v>
      </c>
      <c r="B258">
        <f ca="1"/>
        <v>19120101</v>
      </c>
      <c r="C258" t="str">
        <f ca="1"/>
        <v>박세진</v>
      </c>
      <c r="D258" t="str">
        <f ca="1"/>
        <v>경영본부</v>
      </c>
      <c r="E258" t="str">
        <f ca="1"/>
        <v>운영팀</v>
      </c>
      <c r="F258" t="str">
        <f ca="1"/>
        <v>Operation Lead</v>
      </c>
      <c r="G258" t="str">
        <f ca="1"/>
        <v>Lead</v>
      </c>
      <c r="H258" t="str">
        <f ca="1"/>
        <v>멤버</v>
      </c>
      <c r="I258">
        <f ca="1"/>
        <v>43800</v>
      </c>
      <c r="J258">
        <f ca="1"/>
        <v>43800</v>
      </c>
      <c r="K258" t="str">
        <f ca="1"/>
        <v>정규직</v>
      </c>
      <c r="L258" t="str">
        <f ca="1"/>
        <v>사무직</v>
      </c>
      <c r="M258" t="str">
        <f ca="1"/>
        <v>퇴직</v>
      </c>
      <c r="N258" t="str">
        <f ca="1"/>
        <v>700420-1068911</v>
      </c>
      <c r="O258">
        <f ca="1"/>
        <v>25678</v>
      </c>
      <c r="P258" t="str">
        <f ca="1"/>
        <v>남</v>
      </c>
      <c r="Q258">
        <f ca="1"/>
        <v>56</v>
      </c>
      <c r="R258">
        <f ca="1"/>
        <v>54</v>
      </c>
      <c r="S258" t="str">
        <f ca="1"/>
        <v>010-6235-6430</v>
      </c>
      <c r="T258" t="str">
        <f ca="1"/>
        <v>서울시 송파구 송파동 43번지 송광빌딩 501호</v>
      </c>
      <c r="U258" t="str">
        <f ca="1"/>
        <v>blue420@neurophet.com</v>
      </c>
    </row>
    <row r="259" spans="1:21" x14ac:dyDescent="0.3">
      <c r="A259">
        <f ca="1"/>
        <v>258</v>
      </c>
      <c r="B259">
        <f ca="1"/>
        <v>21072601</v>
      </c>
      <c r="C259" t="str">
        <f ca="1"/>
        <v>양서영</v>
      </c>
      <c r="D259" t="str">
        <f ca="1"/>
        <v>프로덕트본부</v>
      </c>
      <c r="E259" t="str">
        <f ca="1"/>
        <v>기획팀</v>
      </c>
      <c r="F259" t="str">
        <f ca="1"/>
        <v>디자인</v>
      </c>
      <c r="G259" t="str">
        <f ca="1"/>
        <v>Member</v>
      </c>
      <c r="H259" t="str">
        <f ca="1"/>
        <v>멤버</v>
      </c>
      <c r="I259">
        <f ca="1"/>
        <v>44403</v>
      </c>
      <c r="J259">
        <f ca="1"/>
        <v>44403</v>
      </c>
      <c r="K259" t="str">
        <f ca="1"/>
        <v>정규직</v>
      </c>
      <c r="L259" t="str">
        <f ca="1"/>
        <v>연구직</v>
      </c>
      <c r="M259" t="str">
        <f ca="1"/>
        <v>퇴직</v>
      </c>
      <c r="N259" t="str">
        <f ca="1"/>
        <v>901202-2157718</v>
      </c>
      <c r="O259">
        <f ca="1"/>
        <v>33209</v>
      </c>
      <c r="P259" t="str">
        <f ca="1"/>
        <v>여</v>
      </c>
      <c r="Q259">
        <f ca="1"/>
        <v>36</v>
      </c>
      <c r="R259">
        <f ca="1"/>
        <v>34</v>
      </c>
      <c r="S259" t="str">
        <f ca="1"/>
        <v>010-5159-7734</v>
      </c>
      <c r="T259" t="str">
        <f ca="1"/>
        <v xml:space="preserve"> 경기도 남양주시 호평동 라인아파트 104동 902호 </v>
      </c>
      <c r="U259" t="str">
        <f ca="1"/>
        <v>seoyoung@neurophet.com</v>
      </c>
    </row>
    <row r="260" spans="1:21" x14ac:dyDescent="0.3">
      <c r="A260">
        <f ca="1"/>
        <v>259</v>
      </c>
      <c r="B260">
        <f ca="1"/>
        <v>19110101</v>
      </c>
      <c r="C260" t="str">
        <f ca="1"/>
        <v>신현묵</v>
      </c>
      <c r="D260" t="str">
        <f ca="1"/>
        <v>프로덕트본부</v>
      </c>
      <c r="E260" t="str">
        <f ca="1"/>
        <v>R&amp;D Unit</v>
      </c>
      <c r="F260" t="str">
        <f ca="1"/>
        <v>CSO</v>
      </c>
      <c r="G260" t="str">
        <f ca="1"/>
        <v>CSO</v>
      </c>
      <c r="H260" t="str">
        <f ca="1"/>
        <v>C-LEVEL</v>
      </c>
      <c r="I260">
        <f ca="1"/>
        <v>43770</v>
      </c>
      <c r="J260">
        <f ca="1"/>
        <v>43770</v>
      </c>
      <c r="K260" t="str">
        <f ca="1"/>
        <v>정규직</v>
      </c>
      <c r="L260" t="str">
        <f ca="1"/>
        <v>연구직</v>
      </c>
      <c r="M260" t="str">
        <f ca="1"/>
        <v>퇴직</v>
      </c>
      <c r="N260" t="str">
        <f ca="1"/>
        <v>720301-1149715</v>
      </c>
      <c r="O260">
        <f ca="1"/>
        <v>26359</v>
      </c>
      <c r="P260" t="str">
        <f ca="1"/>
        <v>남</v>
      </c>
      <c r="Q260">
        <f ca="1"/>
        <v>54</v>
      </c>
      <c r="R260">
        <f ca="1"/>
        <v>53</v>
      </c>
      <c r="S260" t="str">
        <f ca="1"/>
        <v>010-9972-1760</v>
      </c>
      <c r="T260" t="str">
        <f ca="1"/>
        <v>경기도 고양시 일산동구 산두로 72 201-204</v>
      </c>
      <c r="U260" t="str">
        <f ca="1"/>
        <v>sean.shin@neurophet.com</v>
      </c>
    </row>
    <row r="261" spans="1:21" x14ac:dyDescent="0.3">
      <c r="A261">
        <f ca="1"/>
        <v>260</v>
      </c>
      <c r="B261">
        <f ca="1"/>
        <v>17041001</v>
      </c>
      <c r="C261" t="str">
        <f ca="1"/>
        <v>민대규</v>
      </c>
      <c r="D261" t="str">
        <f ca="1"/>
        <v>프로덕트본부</v>
      </c>
      <c r="E261" t="str">
        <f ca="1"/>
        <v>Labs</v>
      </c>
      <c r="F261" t="str">
        <f ca="1"/>
        <v>Guide Solution</v>
      </c>
      <c r="G261" t="str">
        <f ca="1"/>
        <v>Lead</v>
      </c>
      <c r="H261" t="str">
        <f ca="1"/>
        <v>멤버</v>
      </c>
      <c r="I261">
        <f ca="1"/>
        <v>42835</v>
      </c>
      <c r="J261">
        <f ca="1"/>
        <v>42835</v>
      </c>
      <c r="K261" t="str">
        <f ca="1"/>
        <v>정규직</v>
      </c>
      <c r="L261" t="str">
        <f ca="1"/>
        <v>연구직</v>
      </c>
      <c r="M261" t="str">
        <f ca="1"/>
        <v>퇴직</v>
      </c>
      <c r="N261" t="str">
        <f ca="1"/>
        <v>820309-1019716</v>
      </c>
      <c r="O261">
        <f ca="1"/>
        <v>30019</v>
      </c>
      <c r="P261" t="str">
        <f ca="1"/>
        <v>남</v>
      </c>
      <c r="Q261">
        <f ca="1"/>
        <v>44</v>
      </c>
      <c r="R261">
        <f ca="1"/>
        <v>43</v>
      </c>
      <c r="S261" t="str">
        <f ca="1"/>
        <v>010-5878-0309</v>
      </c>
      <c r="T261" t="str">
        <f ca="1"/>
        <v>인천광역시 부평구 경원대로 1269, 104동 101호(산곡동, 현대아파트)</v>
      </c>
      <c r="U261" t="str">
        <f ca="1"/>
        <v>dgmin@neurophet.com</v>
      </c>
    </row>
    <row r="262" spans="1:21" x14ac:dyDescent="0.3">
      <c r="A262">
        <f ca="1"/>
        <v>261</v>
      </c>
      <c r="B262">
        <f ca="1"/>
        <v>21060102</v>
      </c>
      <c r="C262" t="str">
        <f ca="1"/>
        <v>김현수..</v>
      </c>
      <c r="D262" t="str">
        <f ca="1"/>
        <v>연구본부</v>
      </c>
      <c r="E262" t="str">
        <f ca="1"/>
        <v>TechOps팀</v>
      </c>
      <c r="F262" t="str">
        <f ca="1"/>
        <v>레이블링</v>
      </c>
      <c r="G262" t="str">
        <f ca="1"/>
        <v>Temporary</v>
      </c>
      <c r="H262" t="str">
        <f ca="1"/>
        <v>계약직</v>
      </c>
      <c r="I262">
        <f ca="1"/>
        <v>44348</v>
      </c>
      <c r="J262">
        <f ca="1"/>
        <v>44348</v>
      </c>
      <c r="K262" t="str">
        <f ca="1"/>
        <v>계약직</v>
      </c>
      <c r="L262" t="str">
        <f ca="1"/>
        <v>사무직</v>
      </c>
      <c r="M262" t="str">
        <f ca="1"/>
        <v>퇴직</v>
      </c>
      <c r="N262" t="str">
        <f ca="1"/>
        <v>991019-1235224</v>
      </c>
      <c r="O262">
        <f ca="1"/>
        <v>36452</v>
      </c>
      <c r="P262" t="str">
        <f ca="1"/>
        <v>남</v>
      </c>
      <c r="Q262">
        <f ca="1"/>
        <v>27</v>
      </c>
      <c r="R262">
        <f ca="1"/>
        <v>25</v>
      </c>
      <c r="S262" t="str">
        <f ca="1"/>
        <v>010-8911-8732</v>
      </c>
      <c r="T262" t="str">
        <f ca="1"/>
        <v>서울특별시 성동구 둘레19길 5 강변임광아파트 101동 907호</v>
      </c>
      <c r="U262" t="str">
        <f ca="1"/>
        <v>khs@neurophet.com</v>
      </c>
    </row>
    <row r="263" spans="1:21" x14ac:dyDescent="0.3">
      <c r="A263">
        <f ca="1"/>
        <v>262</v>
      </c>
      <c r="B263">
        <f ca="1"/>
        <v>20040101</v>
      </c>
      <c r="C263" t="str">
        <f ca="1"/>
        <v>최성우</v>
      </c>
      <c r="D263" t="str">
        <f ca="1"/>
        <v>비즈니스본부</v>
      </c>
      <c r="E263" t="str">
        <f ca="1"/>
        <v>마케팅팀</v>
      </c>
      <c r="F263" t="str">
        <f ca="1"/>
        <v>마케팅</v>
      </c>
      <c r="G263" t="str">
        <f ca="1"/>
        <v>Member</v>
      </c>
      <c r="H263" t="str">
        <f ca="1"/>
        <v>멤버</v>
      </c>
      <c r="I263">
        <f ca="1"/>
        <v>43922</v>
      </c>
      <c r="J263">
        <f ca="1"/>
        <v>43922</v>
      </c>
      <c r="K263" t="str">
        <f ca="1"/>
        <v>정규직</v>
      </c>
      <c r="L263" t="str">
        <f ca="1"/>
        <v>사무직</v>
      </c>
      <c r="M263" t="str">
        <f ca="1"/>
        <v>퇴직</v>
      </c>
      <c r="N263" t="str">
        <f ca="1"/>
        <v>920127-1114523</v>
      </c>
      <c r="O263">
        <f ca="1"/>
        <v>33630</v>
      </c>
      <c r="P263" t="str">
        <f ca="1"/>
        <v>남</v>
      </c>
      <c r="Q263">
        <f ca="1"/>
        <v>34</v>
      </c>
      <c r="R263">
        <f ca="1"/>
        <v>33</v>
      </c>
      <c r="S263" t="str">
        <f ca="1"/>
        <v>010-3936-7552</v>
      </c>
      <c r="T263" t="str">
        <f ca="1"/>
        <v xml:space="preserve"> 서울특별시 관악구 봉천로 588-13, 301호</v>
      </c>
      <c r="U263" t="str">
        <f ca="1"/>
        <v>sw.choi@neurophet.com</v>
      </c>
    </row>
    <row r="264" spans="1:21" x14ac:dyDescent="0.3">
      <c r="A264">
        <f ca="1"/>
        <v>263</v>
      </c>
      <c r="B264">
        <f ca="1"/>
        <v>21062101</v>
      </c>
      <c r="C264" t="str">
        <f ca="1"/>
        <v>오윤주</v>
      </c>
      <c r="D264" t="str">
        <f ca="1"/>
        <v>프로덕트본부</v>
      </c>
      <c r="E264" t="str">
        <f ca="1"/>
        <v>Medical Web Application팀</v>
      </c>
      <c r="F264" t="str">
        <f ca="1"/>
        <v>Front_End개발</v>
      </c>
      <c r="G264" t="str">
        <f ca="1"/>
        <v>Member</v>
      </c>
      <c r="H264" t="str">
        <f ca="1"/>
        <v>멤버</v>
      </c>
      <c r="I264">
        <f ca="1"/>
        <v>44368</v>
      </c>
      <c r="J264">
        <f ca="1"/>
        <v>44368</v>
      </c>
      <c r="K264" t="str">
        <f ca="1"/>
        <v>정규직</v>
      </c>
      <c r="L264" t="str">
        <f ca="1"/>
        <v>연구직</v>
      </c>
      <c r="M264" t="str">
        <f ca="1"/>
        <v>퇴직</v>
      </c>
      <c r="N264" t="str">
        <f ca="1"/>
        <v>901217-2059211</v>
      </c>
      <c r="O264">
        <f ca="1"/>
        <v>33224</v>
      </c>
      <c r="P264" t="str">
        <f ca="1"/>
        <v>여</v>
      </c>
      <c r="Q264">
        <f ca="1"/>
        <v>36</v>
      </c>
      <c r="R264">
        <f ca="1"/>
        <v>34</v>
      </c>
      <c r="S264" t="str">
        <f ca="1"/>
        <v>010-7225-9988</v>
      </c>
      <c r="T264" t="str">
        <f ca="1"/>
        <v>서울시 관악구 남부순환로247나길 6, 힐탑빌리지 201호</v>
      </c>
      <c r="U264" t="str">
        <f ca="1"/>
        <v>yjo@neurophet.com</v>
      </c>
    </row>
    <row r="265" spans="1:21" x14ac:dyDescent="0.3">
      <c r="A265">
        <f ca="1"/>
        <v>264</v>
      </c>
      <c r="B265" t="str">
        <f ca="1"/>
        <v>20121402</v>
      </c>
      <c r="C265" t="str">
        <f ca="1"/>
        <v>박현진</v>
      </c>
      <c r="D265" t="str">
        <f ca="1"/>
        <v>연구본부</v>
      </c>
      <c r="E265" t="str">
        <f ca="1"/>
        <v>TechOps팀</v>
      </c>
      <c r="F265" t="str">
        <f ca="1"/>
        <v>레이블링</v>
      </c>
      <c r="G265" t="str">
        <f ca="1"/>
        <v>Temporary</v>
      </c>
      <c r="H265" t="str">
        <f ca="1"/>
        <v>계약직</v>
      </c>
      <c r="I265">
        <f ca="1"/>
        <v>44179</v>
      </c>
      <c r="J265">
        <f ca="1"/>
        <v>44179</v>
      </c>
      <c r="K265" t="str">
        <f ca="1"/>
        <v>계약직</v>
      </c>
      <c r="L265" t="str">
        <f ca="1"/>
        <v>사무직</v>
      </c>
      <c r="M265" t="str">
        <f ca="1"/>
        <v>퇴직</v>
      </c>
      <c r="N265" t="str">
        <f ca="1"/>
        <v>001213-3179812</v>
      </c>
      <c r="O265">
        <f ca="1"/>
        <v>36873</v>
      </c>
      <c r="P265" t="str">
        <f ca="1"/>
        <v>남</v>
      </c>
      <c r="Q265">
        <f ca="1"/>
        <v>26</v>
      </c>
      <c r="R265">
        <f ca="1"/>
        <v>24</v>
      </c>
      <c r="S265">
        <f ca="1"/>
        <v>0</v>
      </c>
      <c r="T265" t="str">
        <f ca="1"/>
        <v>서울시 송파구 백제고분로45길 13</v>
      </c>
      <c r="U265">
        <f ca="1"/>
        <v>0</v>
      </c>
    </row>
    <row r="266" spans="1:21" x14ac:dyDescent="0.3">
      <c r="A266">
        <f ca="1"/>
        <v>265</v>
      </c>
      <c r="B266">
        <f ca="1"/>
        <v>20071302</v>
      </c>
      <c r="C266" t="str">
        <f ca="1"/>
        <v>유민구</v>
      </c>
      <c r="D266" t="str">
        <f ca="1"/>
        <v>비즈니스본부</v>
      </c>
      <c r="E266" t="str">
        <f ca="1"/>
        <v>마케팅팀</v>
      </c>
      <c r="F266" t="str">
        <f ca="1"/>
        <v>마케팅</v>
      </c>
      <c r="G266" t="str">
        <f ca="1"/>
        <v>Lead</v>
      </c>
      <c r="H266" t="str">
        <f ca="1"/>
        <v>멤버</v>
      </c>
      <c r="I266">
        <f ca="1"/>
        <v>44025</v>
      </c>
      <c r="J266">
        <f ca="1"/>
        <v>44025</v>
      </c>
      <c r="K266" t="str">
        <f ca="1"/>
        <v>정규직</v>
      </c>
      <c r="L266" t="str">
        <f ca="1"/>
        <v>사무직</v>
      </c>
      <c r="M266" t="str">
        <f ca="1"/>
        <v>퇴직</v>
      </c>
      <c r="N266" t="str">
        <f ca="1"/>
        <v>791114-1019711</v>
      </c>
      <c r="O266">
        <f ca="1"/>
        <v>29173</v>
      </c>
      <c r="P266" t="str">
        <f ca="1"/>
        <v>남</v>
      </c>
      <c r="Q266">
        <f ca="1"/>
        <v>47</v>
      </c>
      <c r="R266">
        <f ca="1"/>
        <v>45</v>
      </c>
      <c r="S266" t="str">
        <f ca="1"/>
        <v>010-9249-3748</v>
      </c>
      <c r="T266" t="str">
        <f ca="1"/>
        <v>경기도 과천시 부림4길 29-13</v>
      </c>
      <c r="U266" t="str">
        <f ca="1"/>
        <v>mgyu@neurophet.com</v>
      </c>
    </row>
    <row r="267" spans="1:21" x14ac:dyDescent="0.3">
      <c r="A267">
        <f ca="1"/>
        <v>266</v>
      </c>
      <c r="B267">
        <f ca="1"/>
        <v>21010401</v>
      </c>
      <c r="C267" t="str">
        <f ca="1"/>
        <v>이도아</v>
      </c>
      <c r="D267" t="str">
        <f ca="1"/>
        <v>비즈니스본부</v>
      </c>
      <c r="E267" t="str">
        <f ca="1"/>
        <v>세일즈팀</v>
      </c>
      <c r="F267" t="str">
        <f ca="1"/>
        <v>영업지원</v>
      </c>
      <c r="G267" t="str">
        <f ca="1"/>
        <v>Member</v>
      </c>
      <c r="H267" t="str">
        <f ca="1"/>
        <v>멤버</v>
      </c>
      <c r="I267">
        <f ca="1"/>
        <v>44200</v>
      </c>
      <c r="J267">
        <f ca="1"/>
        <v>44200</v>
      </c>
      <c r="K267" t="str">
        <f ca="1"/>
        <v>정규직</v>
      </c>
      <c r="L267" t="str">
        <f ca="1"/>
        <v>사무직</v>
      </c>
      <c r="M267" t="str">
        <f ca="1"/>
        <v>퇴직</v>
      </c>
      <c r="N267" t="str">
        <f ca="1"/>
        <v>840206-2067232</v>
      </c>
      <c r="O267">
        <f ca="1"/>
        <v>30718</v>
      </c>
      <c r="P267" t="str">
        <f ca="1"/>
        <v>여</v>
      </c>
      <c r="Q267">
        <f ca="1"/>
        <v>42</v>
      </c>
      <c r="R267">
        <f ca="1"/>
        <v>41</v>
      </c>
      <c r="S267" t="str">
        <f ca="1"/>
        <v>010-8868-0206</v>
      </c>
      <c r="T267" t="str">
        <f ca="1"/>
        <v>서울시 구로구 가마산로 268 대림역와이즈플레이스 1804호</v>
      </c>
      <c r="U267" t="str">
        <f ca="1"/>
        <v> doalee@neurophet.com</v>
      </c>
    </row>
    <row r="268" spans="1:21" x14ac:dyDescent="0.3">
      <c r="A268">
        <f ca="1"/>
        <v>267</v>
      </c>
      <c r="B268">
        <f ca="1"/>
        <v>20021901</v>
      </c>
      <c r="C268" t="str">
        <f ca="1"/>
        <v>박상규</v>
      </c>
      <c r="D268" t="str">
        <f ca="1"/>
        <v>비즈니스본부</v>
      </c>
      <c r="E268" t="str">
        <f ca="1"/>
        <v>세일즈팀</v>
      </c>
      <c r="F268" t="str">
        <f ca="1"/>
        <v>영업팀장</v>
      </c>
      <c r="G268" t="str">
        <f ca="1"/>
        <v>Lead</v>
      </c>
      <c r="H268" t="str">
        <f ca="1"/>
        <v>멤버</v>
      </c>
      <c r="I268">
        <f ca="1"/>
        <v>43880</v>
      </c>
      <c r="J268">
        <f ca="1"/>
        <v>43880</v>
      </c>
      <c r="K268" t="str">
        <f ca="1"/>
        <v>정규직</v>
      </c>
      <c r="L268" t="str">
        <f ca="1"/>
        <v>사무직</v>
      </c>
      <c r="M268" t="str">
        <f ca="1"/>
        <v>퇴직</v>
      </c>
      <c r="N268" t="str">
        <f ca="1"/>
        <v>740929-1683836</v>
      </c>
      <c r="O268">
        <f ca="1"/>
        <v>27301</v>
      </c>
      <c r="P268" t="str">
        <f ca="1"/>
        <v>남</v>
      </c>
      <c r="Q268">
        <f ca="1"/>
        <v>52</v>
      </c>
      <c r="R268">
        <f ca="1"/>
        <v>50</v>
      </c>
      <c r="S268" t="str">
        <f ca="1"/>
        <v>010-3455-2187</v>
      </c>
      <c r="T268" t="str">
        <f ca="1"/>
        <v>경기도 안양시 만안구 안양로 224-7, 501호</v>
      </c>
      <c r="U268" t="str">
        <f ca="1"/>
        <v>sangkyou@neurophet.com</v>
      </c>
    </row>
    <row r="269" spans="1:21" x14ac:dyDescent="0.3">
      <c r="A269">
        <f ca="1"/>
        <v>268</v>
      </c>
      <c r="B269">
        <f ca="1"/>
        <v>20071301</v>
      </c>
      <c r="C269" t="str">
        <f ca="1"/>
        <v>김종랑</v>
      </c>
      <c r="D269" t="str">
        <f ca="1"/>
        <v>비즈니스본부</v>
      </c>
      <c r="E269" t="str">
        <f ca="1"/>
        <v>마케팅팀</v>
      </c>
      <c r="F269" t="str">
        <f ca="1"/>
        <v>BD</v>
      </c>
      <c r="G269" t="str">
        <f ca="1"/>
        <v>Member</v>
      </c>
      <c r="H269" t="str">
        <f ca="1"/>
        <v>멤버</v>
      </c>
      <c r="I269">
        <f ca="1"/>
        <v>44025</v>
      </c>
      <c r="J269">
        <f ca="1"/>
        <v>44025</v>
      </c>
      <c r="K269" t="str">
        <f ca="1"/>
        <v>정규직</v>
      </c>
      <c r="L269" t="str">
        <f ca="1"/>
        <v>사무직</v>
      </c>
      <c r="M269" t="str">
        <f ca="1"/>
        <v>퇴직</v>
      </c>
      <c r="N269" t="str">
        <f ca="1"/>
        <v>831210-1058823</v>
      </c>
      <c r="O269">
        <f ca="1"/>
        <v>30660</v>
      </c>
      <c r="P269" t="str">
        <f ca="1"/>
        <v>남</v>
      </c>
      <c r="Q269">
        <f ca="1"/>
        <v>43</v>
      </c>
      <c r="R269">
        <f ca="1"/>
        <v>41</v>
      </c>
      <c r="S269" t="str">
        <f ca="1"/>
        <v>010-4138-1061</v>
      </c>
      <c r="T269" t="str">
        <f ca="1"/>
        <v>서울시 노원구 광운로2나길 30  동신아파트 6동 202호</v>
      </c>
      <c r="U269" t="str">
        <f ca="1"/>
        <v>jrkim@neurophet.com</v>
      </c>
    </row>
    <row r="270" spans="1:21" x14ac:dyDescent="0.3">
      <c r="A270">
        <f ca="1"/>
        <v>269</v>
      </c>
      <c r="B270">
        <f ca="1"/>
        <v>21041201</v>
      </c>
      <c r="C270" t="str">
        <f ca="1"/>
        <v>임기은</v>
      </c>
      <c r="D270" t="str">
        <f ca="1"/>
        <v>프로덕트본부</v>
      </c>
      <c r="E270" t="str">
        <f ca="1"/>
        <v>기획팀</v>
      </c>
      <c r="F270" t="str">
        <f ca="1"/>
        <v>기획</v>
      </c>
      <c r="G270" t="str">
        <f ca="1"/>
        <v>Intern</v>
      </c>
      <c r="H270" t="str">
        <f ca="1"/>
        <v>멤버</v>
      </c>
      <c r="I270">
        <f ca="1"/>
        <v>44298</v>
      </c>
      <c r="J270">
        <f ca="1"/>
        <v>44358</v>
      </c>
      <c r="K270" t="str">
        <f ca="1"/>
        <v>계약직</v>
      </c>
      <c r="L270" t="str">
        <f ca="1"/>
        <v>연구직</v>
      </c>
      <c r="M270" t="str">
        <f ca="1"/>
        <v>퇴직</v>
      </c>
      <c r="N270" t="str">
        <f ca="1"/>
        <v>930705-2041814</v>
      </c>
      <c r="O270">
        <f ca="1"/>
        <v>34155</v>
      </c>
      <c r="P270" t="str">
        <f ca="1"/>
        <v>여</v>
      </c>
      <c r="Q270">
        <f ca="1"/>
        <v>33</v>
      </c>
      <c r="R270">
        <f ca="1"/>
        <v>31</v>
      </c>
      <c r="S270" t="str">
        <f ca="1"/>
        <v>010-3227-4382</v>
      </c>
      <c r="T270" t="str">
        <f ca="1"/>
        <v xml:space="preserve">서울시 은평구 갈현로 35길 12, 301호     </v>
      </c>
      <c r="U270">
        <f ca="1"/>
        <v>0</v>
      </c>
    </row>
    <row r="271" spans="1:21" x14ac:dyDescent="0.3">
      <c r="A271">
        <f ca="1"/>
        <v>270</v>
      </c>
      <c r="B271" t="str">
        <f ca="1"/>
        <v>21010101</v>
      </c>
      <c r="C271" t="str">
        <f ca="1"/>
        <v>김구헌</v>
      </c>
      <c r="D271" t="str">
        <f ca="1"/>
        <v>경영본부</v>
      </c>
      <c r="E271" t="str">
        <f ca="1"/>
        <v>대표이사</v>
      </c>
      <c r="F271" t="str">
        <f ca="1"/>
        <v>CFO</v>
      </c>
      <c r="G271" t="str">
        <f ca="1"/>
        <v>C-Level</v>
      </c>
      <c r="H271" t="str">
        <f ca="1"/>
        <v>멤버</v>
      </c>
      <c r="I271">
        <f ca="1"/>
        <v>44197</v>
      </c>
      <c r="J271">
        <f ca="1"/>
        <v>44197</v>
      </c>
      <c r="K271" t="str">
        <f ca="1"/>
        <v>정규직</v>
      </c>
      <c r="L271" t="str">
        <f ca="1"/>
        <v>사무직</v>
      </c>
      <c r="M271" t="str">
        <f ca="1"/>
        <v>퇴직</v>
      </c>
      <c r="N271" t="str">
        <f ca="1"/>
        <v>720522-1822212</v>
      </c>
      <c r="O271">
        <f ca="1"/>
        <v>26441</v>
      </c>
      <c r="P271" t="str">
        <f ca="1"/>
        <v>남</v>
      </c>
      <c r="Q271">
        <f ca="1"/>
        <v>54</v>
      </c>
      <c r="R271">
        <f ca="1"/>
        <v>52</v>
      </c>
      <c r="S271" t="str">
        <f ca="1"/>
        <v>010-6212-1170</v>
      </c>
      <c r="T271" t="str">
        <f ca="1"/>
        <v>서울시 서초구 잠원로 37-48, 207동 802호(잠원동, 신반포4차아파트)</v>
      </c>
      <c r="U271" t="str">
        <f ca="1"/>
        <v> ghkim@neurophet.com</v>
      </c>
    </row>
    <row r="272" spans="1:21" x14ac:dyDescent="0.3">
      <c r="A272">
        <f ca="1"/>
        <v>271</v>
      </c>
      <c r="B272">
        <f ca="1"/>
        <v>19061001</v>
      </c>
      <c r="C272" t="str">
        <f ca="1"/>
        <v>박정훈</v>
      </c>
      <c r="D272" t="str">
        <f ca="1"/>
        <v>프로덕트본부</v>
      </c>
      <c r="E272" t="str">
        <f ca="1"/>
        <v>Medical Web Application팀</v>
      </c>
      <c r="F272" t="str">
        <f ca="1"/>
        <v>Front_End</v>
      </c>
      <c r="G272" t="str">
        <f ca="1"/>
        <v>Member</v>
      </c>
      <c r="H272" t="str">
        <f ca="1"/>
        <v>멤버</v>
      </c>
      <c r="I272">
        <f ca="1"/>
        <v>43626</v>
      </c>
      <c r="J272">
        <f ca="1"/>
        <v>43626</v>
      </c>
      <c r="K272" t="str">
        <f ca="1"/>
        <v>정규직</v>
      </c>
      <c r="L272" t="str">
        <f ca="1"/>
        <v>연구직</v>
      </c>
      <c r="M272" t="str">
        <f ca="1"/>
        <v>퇴직</v>
      </c>
      <c r="N272" t="str">
        <f ca="1"/>
        <v>950115-1216012</v>
      </c>
      <c r="O272">
        <f ca="1"/>
        <v>34714</v>
      </c>
      <c r="P272" t="str">
        <f ca="1"/>
        <v>남</v>
      </c>
      <c r="Q272">
        <f ca="1"/>
        <v>31</v>
      </c>
      <c r="R272">
        <f ca="1"/>
        <v>30</v>
      </c>
      <c r="S272" t="str">
        <f ca="1"/>
        <v>010-8742-6881</v>
      </c>
      <c r="T272" t="str">
        <f ca="1"/>
        <v>서울특별시 관악구 봉천동 1540-24</v>
      </c>
      <c r="U272" t="str">
        <f ca="1"/>
        <v>jhpark@neurophet.com</v>
      </c>
    </row>
    <row r="273" spans="1:21" x14ac:dyDescent="0.3">
      <c r="A273">
        <f ca="1"/>
        <v>272</v>
      </c>
      <c r="B273">
        <f ca="1"/>
        <v>20040103</v>
      </c>
      <c r="C273" t="str">
        <f ca="1"/>
        <v>주정열</v>
      </c>
      <c r="D273" t="str">
        <f ca="1"/>
        <v>프로덕트본부</v>
      </c>
      <c r="E273" t="str">
        <f ca="1"/>
        <v>Labs</v>
      </c>
      <c r="F273" t="str">
        <f ca="1"/>
        <v>Guide Solution</v>
      </c>
      <c r="G273" t="str">
        <f ca="1"/>
        <v>Member</v>
      </c>
      <c r="H273" t="str">
        <f ca="1"/>
        <v>멤버</v>
      </c>
      <c r="I273">
        <f ca="1"/>
        <v>43922</v>
      </c>
      <c r="J273">
        <f ca="1"/>
        <v>43922</v>
      </c>
      <c r="K273" t="str">
        <f ca="1"/>
        <v>정규직</v>
      </c>
      <c r="L273" t="str">
        <f ca="1"/>
        <v>연구직</v>
      </c>
      <c r="M273" t="str">
        <f ca="1"/>
        <v>퇴직</v>
      </c>
      <c r="N273" t="str">
        <f ca="1"/>
        <v>900829-1158024</v>
      </c>
      <c r="O273">
        <f ca="1"/>
        <v>33114</v>
      </c>
      <c r="P273" t="str">
        <f ca="1"/>
        <v>남</v>
      </c>
      <c r="Q273">
        <f ca="1"/>
        <v>36</v>
      </c>
      <c r="R273">
        <f ca="1"/>
        <v>34</v>
      </c>
      <c r="S273" t="str">
        <f ca="1"/>
        <v>010-6667-2930</v>
      </c>
      <c r="T273" t="str">
        <f ca="1"/>
        <v>경기도 용인시 기흥구 신갈로 124번길 23-5 행인오피스텔 310호</v>
      </c>
      <c r="U273" t="str">
        <f ca="1"/>
        <v>jyjoo@neurophet.com</v>
      </c>
    </row>
    <row r="274" spans="1:21" x14ac:dyDescent="0.3">
      <c r="A274">
        <f ca="1"/>
        <v>273</v>
      </c>
      <c r="B274">
        <f ca="1"/>
        <v>20040102</v>
      </c>
      <c r="C274" t="str">
        <f ca="1"/>
        <v>정의준</v>
      </c>
      <c r="D274" t="str">
        <f ca="1"/>
        <v>프로덕트본부</v>
      </c>
      <c r="E274" t="str">
        <f ca="1"/>
        <v>QA팀</v>
      </c>
      <c r="F274" t="str">
        <f ca="1"/>
        <v>QC</v>
      </c>
      <c r="G274" t="str">
        <f ca="1"/>
        <v>Member</v>
      </c>
      <c r="H274" t="str">
        <f ca="1"/>
        <v>멤버</v>
      </c>
      <c r="I274">
        <f ca="1"/>
        <v>43922</v>
      </c>
      <c r="J274">
        <f ca="1"/>
        <v>43922</v>
      </c>
      <c r="K274" t="str">
        <f ca="1"/>
        <v>정규직</v>
      </c>
      <c r="L274" t="str">
        <f ca="1"/>
        <v>연구직</v>
      </c>
      <c r="M274" t="str">
        <f ca="1"/>
        <v>퇴직</v>
      </c>
      <c r="N274" t="str">
        <f ca="1"/>
        <v>840105-1065626</v>
      </c>
      <c r="O274">
        <f ca="1"/>
        <v>30686</v>
      </c>
      <c r="P274" t="str">
        <f ca="1"/>
        <v>남</v>
      </c>
      <c r="Q274">
        <f ca="1"/>
        <v>42</v>
      </c>
      <c r="R274">
        <f ca="1"/>
        <v>41</v>
      </c>
      <c r="S274" t="str">
        <f ca="1"/>
        <v>010-4231-1523</v>
      </c>
      <c r="T274" t="str">
        <f ca="1"/>
        <v>서울시 가마산로 97 구로현대@ 1107호</v>
      </c>
      <c r="U274" t="str">
        <f ca="1"/>
        <v>ej.jeong@neurophet.com</v>
      </c>
    </row>
    <row r="275" spans="1:21" x14ac:dyDescent="0.3">
      <c r="A275">
        <f ca="1"/>
        <v>274</v>
      </c>
      <c r="B275">
        <f ca="1"/>
        <v>20120701</v>
      </c>
      <c r="C275" t="str">
        <f ca="1"/>
        <v>손석현</v>
      </c>
      <c r="D275" t="str">
        <f ca="1"/>
        <v>연구본부</v>
      </c>
      <c r="E275" t="str">
        <f ca="1"/>
        <v>TechOps팀</v>
      </c>
      <c r="F275" t="str">
        <f ca="1"/>
        <v>레이블링</v>
      </c>
      <c r="G275" t="str">
        <f ca="1"/>
        <v>Temporary</v>
      </c>
      <c r="H275" t="str">
        <f ca="1"/>
        <v>계약직</v>
      </c>
      <c r="I275">
        <f ca="1"/>
        <v>44172</v>
      </c>
      <c r="J275">
        <f ca="1"/>
        <v>44172</v>
      </c>
      <c r="K275" t="str">
        <f ca="1"/>
        <v>계약직</v>
      </c>
      <c r="L275" t="str">
        <f ca="1"/>
        <v>사무직</v>
      </c>
      <c r="M275" t="str">
        <f ca="1"/>
        <v>퇴직</v>
      </c>
      <c r="N275" t="str">
        <f ca="1"/>
        <v>970505-1178518</v>
      </c>
      <c r="O275">
        <f ca="1"/>
        <v>35555</v>
      </c>
      <c r="P275" t="str">
        <f ca="1"/>
        <v>남</v>
      </c>
      <c r="Q275">
        <f ca="1"/>
        <v>29</v>
      </c>
      <c r="R275">
        <f ca="1"/>
        <v>27</v>
      </c>
      <c r="S275" t="str">
        <f ca="1"/>
        <v>010-7756-7650</v>
      </c>
      <c r="T275" t="str">
        <f ca="1"/>
        <v>경기도 수원시 영통구 인계로 189번길 14</v>
      </c>
      <c r="U275">
        <f ca="1"/>
        <v>0</v>
      </c>
    </row>
    <row r="276" spans="1:21" x14ac:dyDescent="0.3">
      <c r="A276">
        <f ca="1"/>
        <v>275</v>
      </c>
      <c r="B276" t="str">
        <f ca="1"/>
        <v>21010102</v>
      </c>
      <c r="C276" t="str">
        <f ca="1"/>
        <v>정우진</v>
      </c>
      <c r="D276" t="str">
        <f ca="1"/>
        <v>연구본부</v>
      </c>
      <c r="E276" t="str">
        <f ca="1"/>
        <v>TechOps팀</v>
      </c>
      <c r="F276" t="str">
        <f ca="1"/>
        <v>레이블링</v>
      </c>
      <c r="G276" t="str">
        <f ca="1"/>
        <v>Temporary</v>
      </c>
      <c r="H276" t="str">
        <f ca="1"/>
        <v>계약직</v>
      </c>
      <c r="I276">
        <f ca="1"/>
        <v>44197</v>
      </c>
      <c r="J276">
        <f ca="1"/>
        <v>44197</v>
      </c>
      <c r="K276" t="str">
        <f ca="1"/>
        <v>계약직</v>
      </c>
      <c r="L276" t="str">
        <f ca="1"/>
        <v>사무직</v>
      </c>
      <c r="M276" t="str">
        <f ca="1"/>
        <v>퇴직</v>
      </c>
      <c r="N276" t="str">
        <f ca="1"/>
        <v>950522-1051813</v>
      </c>
      <c r="O276">
        <f ca="1"/>
        <v>34841</v>
      </c>
      <c r="P276" t="str">
        <f ca="1"/>
        <v>남</v>
      </c>
      <c r="Q276">
        <f ca="1"/>
        <v>31</v>
      </c>
      <c r="R276">
        <f ca="1"/>
        <v>29</v>
      </c>
      <c r="S276" t="str">
        <f ca="1"/>
        <v>010-2050-4289</v>
      </c>
      <c r="T276">
        <f ca="1"/>
        <v>0</v>
      </c>
      <c r="U276">
        <f ca="1"/>
        <v>0</v>
      </c>
    </row>
    <row r="277" spans="1:21" x14ac:dyDescent="0.3">
      <c r="A277">
        <f ca="1"/>
        <v>276</v>
      </c>
      <c r="B277" t="str">
        <f ca="1"/>
        <v>20112301</v>
      </c>
      <c r="C277" t="str">
        <f ca="1"/>
        <v>이은지</v>
      </c>
      <c r="D277" t="str">
        <f ca="1"/>
        <v>연구본부</v>
      </c>
      <c r="E277" t="str">
        <f ca="1"/>
        <v>임상연구팀</v>
      </c>
      <c r="F277" t="str">
        <f ca="1"/>
        <v>임상연구지원</v>
      </c>
      <c r="G277" t="str">
        <f ca="1"/>
        <v>Temporary</v>
      </c>
      <c r="H277" t="str">
        <f ca="1"/>
        <v>계약직</v>
      </c>
      <c r="I277">
        <f ca="1"/>
        <v>44158</v>
      </c>
      <c r="J277">
        <f ca="1"/>
        <v>44158</v>
      </c>
      <c r="K277" t="str">
        <f ca="1"/>
        <v>계약직</v>
      </c>
      <c r="L277" t="str">
        <f ca="1"/>
        <v>사무직</v>
      </c>
      <c r="M277" t="str">
        <f ca="1"/>
        <v>퇴직</v>
      </c>
      <c r="N277" t="str">
        <f ca="1"/>
        <v>951010-21475415</v>
      </c>
      <c r="O277">
        <f ca="1"/>
        <v>34982</v>
      </c>
      <c r="P277" t="str">
        <f ca="1"/>
        <v>여</v>
      </c>
      <c r="Q277">
        <f ca="1"/>
        <v>31</v>
      </c>
      <c r="R277">
        <f ca="1"/>
        <v>29</v>
      </c>
      <c r="S277" t="str">
        <f ca="1"/>
        <v>010-5405-0665</v>
      </c>
      <c r="T277" t="str">
        <f ca="1"/>
        <v>경기도 안양시 만안구 박달로 198번길 28, 우성아파트 107동 801호</v>
      </c>
      <c r="U277">
        <f ca="1"/>
        <v>0</v>
      </c>
    </row>
    <row r="278" spans="1:21" x14ac:dyDescent="0.3">
      <c r="A278">
        <f ca="1"/>
        <v>277</v>
      </c>
      <c r="B278" t="str">
        <f ca="1"/>
        <v>20090101</v>
      </c>
      <c r="C278" t="str">
        <f ca="1"/>
        <v>이상우</v>
      </c>
      <c r="D278" t="str">
        <f ca="1"/>
        <v>연구본부</v>
      </c>
      <c r="E278" t="str">
        <f ca="1"/>
        <v>연구기획팀</v>
      </c>
      <c r="F278" t="str">
        <f ca="1"/>
        <v>과제 등</v>
      </c>
      <c r="G278" t="str">
        <f ca="1"/>
        <v>Lead</v>
      </c>
      <c r="H278" t="str">
        <f ca="1"/>
        <v>멤버</v>
      </c>
      <c r="I278">
        <f ca="1"/>
        <v>44075</v>
      </c>
      <c r="J278">
        <f ca="1"/>
        <v>44075</v>
      </c>
      <c r="K278" t="str">
        <f ca="1"/>
        <v>정규직</v>
      </c>
      <c r="L278" t="str">
        <f ca="1"/>
        <v>연구직</v>
      </c>
      <c r="M278" t="str">
        <f ca="1"/>
        <v>퇴직</v>
      </c>
      <c r="N278" t="str">
        <f ca="1"/>
        <v>751230-1671318</v>
      </c>
      <c r="O278">
        <f ca="1"/>
        <v>27758</v>
      </c>
      <c r="P278" t="str">
        <f ca="1"/>
        <v>남</v>
      </c>
      <c r="Q278">
        <f ca="1"/>
        <v>51</v>
      </c>
      <c r="R278">
        <f ca="1"/>
        <v>49</v>
      </c>
      <c r="S278" t="str">
        <f ca="1"/>
        <v>010-6267-1225</v>
      </c>
      <c r="T278" t="str">
        <f ca="1"/>
        <v xml:space="preserve">서울특별시 강남구 논현로124길 8 두영아파트 503호    </v>
      </c>
      <c r="U278" t="str">
        <f ca="1"/>
        <v>lsw@neurophet.com</v>
      </c>
    </row>
    <row r="279" spans="1:21" x14ac:dyDescent="0.3">
      <c r="A279">
        <f ca="1"/>
        <v>278</v>
      </c>
      <c r="B279">
        <f ca="1"/>
        <v>20110202</v>
      </c>
      <c r="C279" t="str">
        <f ca="1"/>
        <v>조은경A</v>
      </c>
      <c r="D279" t="str">
        <f ca="1"/>
        <v>비즈니스본부</v>
      </c>
      <c r="E279" t="str">
        <f ca="1"/>
        <v>세일즈팀</v>
      </c>
      <c r="F279">
        <f ca="1"/>
        <v>0</v>
      </c>
      <c r="G279" t="str">
        <f ca="1"/>
        <v>Member</v>
      </c>
      <c r="H279" t="str">
        <f ca="1"/>
        <v>멤버</v>
      </c>
      <c r="I279">
        <f ca="1"/>
        <v>44137</v>
      </c>
      <c r="J279">
        <f ca="1"/>
        <v>44137</v>
      </c>
      <c r="K279" t="str">
        <f ca="1"/>
        <v>정규직</v>
      </c>
      <c r="L279" t="str">
        <f ca="1"/>
        <v>사무직</v>
      </c>
      <c r="M279" t="str">
        <f ca="1"/>
        <v>퇴직</v>
      </c>
      <c r="N279" t="str">
        <f ca="1"/>
        <v>800721-2065419</v>
      </c>
      <c r="O279">
        <f ca="1"/>
        <v>29423</v>
      </c>
      <c r="P279" t="str">
        <f ca="1"/>
        <v>여</v>
      </c>
      <c r="Q279">
        <f ca="1"/>
        <v>46</v>
      </c>
      <c r="R279">
        <f ca="1"/>
        <v>44</v>
      </c>
      <c r="S279" t="str">
        <f ca="1"/>
        <v>010-2498-2721</v>
      </c>
      <c r="T279" t="str">
        <f ca="1"/>
        <v>경기도 안양시 동안구 동안로 102번길 205동 1002호</v>
      </c>
      <c r="U279" t="str">
        <f ca="1"/>
        <v>helencho@neurophet.com</v>
      </c>
    </row>
    <row r="280" spans="1:21" x14ac:dyDescent="0.3">
      <c r="A280">
        <f ca="1"/>
        <v>279</v>
      </c>
      <c r="B280">
        <f ca="1"/>
        <v>19060101</v>
      </c>
      <c r="C280" t="str">
        <f ca="1"/>
        <v>장원재</v>
      </c>
      <c r="D280" t="str">
        <f ca="1"/>
        <v>비즈니스본부</v>
      </c>
      <c r="E280" t="str">
        <f ca="1"/>
        <v>세일즈팀</v>
      </c>
      <c r="F280" t="str">
        <f ca="1"/>
        <v>해외영업</v>
      </c>
      <c r="G280" t="str">
        <f ca="1"/>
        <v>Member</v>
      </c>
      <c r="H280" t="str">
        <f ca="1"/>
        <v>멤버</v>
      </c>
      <c r="I280">
        <f ca="1"/>
        <v>43617</v>
      </c>
      <c r="J280">
        <f ca="1"/>
        <v>43617</v>
      </c>
      <c r="K280" t="str">
        <f ca="1"/>
        <v>정규직</v>
      </c>
      <c r="L280" t="str">
        <f ca="1"/>
        <v>사무직</v>
      </c>
      <c r="M280" t="str">
        <f ca="1"/>
        <v>퇴직</v>
      </c>
      <c r="N280" t="str">
        <f ca="1"/>
        <v>880201-1031121</v>
      </c>
      <c r="O280">
        <f ca="1"/>
        <v>32174</v>
      </c>
      <c r="P280" t="str">
        <f ca="1"/>
        <v>남</v>
      </c>
      <c r="Q280">
        <f ca="1"/>
        <v>38</v>
      </c>
      <c r="R280">
        <f ca="1"/>
        <v>37</v>
      </c>
      <c r="S280" t="str">
        <f ca="1"/>
        <v>010-2722-0276</v>
      </c>
      <c r="T280" t="str">
        <f ca="1"/>
        <v>서울시 양천구 목동동로 250, 목동진도2차 201동 106호</v>
      </c>
      <c r="U280" t="str">
        <f ca="1"/>
        <v>wjchang@neurophet.com</v>
      </c>
    </row>
    <row r="281" spans="1:21" x14ac:dyDescent="0.3">
      <c r="A281">
        <f ca="1"/>
        <v>280</v>
      </c>
      <c r="B281">
        <f ca="1"/>
        <v>20090102</v>
      </c>
      <c r="C281" t="str">
        <f ca="1"/>
        <v>안나영</v>
      </c>
      <c r="D281" t="str">
        <f ca="1"/>
        <v>프로덕트본부</v>
      </c>
      <c r="E281" t="str">
        <f ca="1"/>
        <v>QA팀</v>
      </c>
      <c r="F281" t="str">
        <f ca="1"/>
        <v>QC</v>
      </c>
      <c r="G281" t="str">
        <f ca="1"/>
        <v>Member</v>
      </c>
      <c r="H281" t="str">
        <f ca="1"/>
        <v>멤버</v>
      </c>
      <c r="I281">
        <f ca="1"/>
        <v>44075</v>
      </c>
      <c r="J281">
        <f ca="1"/>
        <v>44075</v>
      </c>
      <c r="K281" t="str">
        <f ca="1"/>
        <v>정규직</v>
      </c>
      <c r="L281" t="str">
        <f ca="1"/>
        <v>연구직</v>
      </c>
      <c r="M281" t="str">
        <f ca="1"/>
        <v>퇴직</v>
      </c>
      <c r="N281" t="str">
        <f ca="1"/>
        <v>961002-2012821</v>
      </c>
      <c r="O281">
        <f ca="1"/>
        <v>35340</v>
      </c>
      <c r="P281" t="str">
        <f ca="1"/>
        <v>여</v>
      </c>
      <c r="Q281">
        <f ca="1"/>
        <v>30</v>
      </c>
      <c r="R281">
        <f ca="1"/>
        <v>28</v>
      </c>
      <c r="S281" t="str">
        <f ca="1"/>
        <v>010-2496-9846</v>
      </c>
      <c r="T281" t="str">
        <f ca="1"/>
        <v>경기도 구리시 토평동 1002-4 203호</v>
      </c>
      <c r="U281" t="str">
        <f ca="1"/>
        <v>nayoung@neurophet.com</v>
      </c>
    </row>
    <row r="282" spans="1:21" x14ac:dyDescent="0.3">
      <c r="A282">
        <f ca="1"/>
        <v>281</v>
      </c>
      <c r="B282">
        <f ca="1"/>
        <v>20020103</v>
      </c>
      <c r="C282" t="str">
        <f ca="1"/>
        <v>주서진</v>
      </c>
      <c r="D282" t="str">
        <f ca="1"/>
        <v>프로덕트본부</v>
      </c>
      <c r="E282" t="str">
        <f ca="1"/>
        <v>기획팀</v>
      </c>
      <c r="F282" t="str">
        <f ca="1"/>
        <v>BX디자인</v>
      </c>
      <c r="G282" t="str">
        <f ca="1"/>
        <v>Member</v>
      </c>
      <c r="H282" t="str">
        <f ca="1"/>
        <v>멤버</v>
      </c>
      <c r="I282">
        <f ca="1"/>
        <v>43862</v>
      </c>
      <c r="J282">
        <f ca="1"/>
        <v>43862</v>
      </c>
      <c r="K282" t="str">
        <f ca="1"/>
        <v>정규직</v>
      </c>
      <c r="L282" t="str">
        <f ca="1"/>
        <v>연구직</v>
      </c>
      <c r="M282" t="str">
        <f ca="1"/>
        <v>퇴직</v>
      </c>
      <c r="N282" t="str">
        <f ca="1"/>
        <v>930927-2225017</v>
      </c>
      <c r="O282">
        <f ca="1"/>
        <v>34239</v>
      </c>
      <c r="P282" t="str">
        <f ca="1"/>
        <v>여</v>
      </c>
      <c r="Q282">
        <f ca="1"/>
        <v>33</v>
      </c>
      <c r="R282">
        <f ca="1"/>
        <v>31</v>
      </c>
      <c r="S282" t="str">
        <f ca="1"/>
        <v>010-7129-3575</v>
      </c>
      <c r="T282" t="str">
        <f ca="1"/>
        <v>서울시 강서구 공항대로75길 30. 102동 703호(염창동, 삼정그린코아아파트)</v>
      </c>
      <c r="U282" t="str">
        <f ca="1"/>
        <v>jooszin@neurophet.com</v>
      </c>
    </row>
    <row r="283" spans="1:21" x14ac:dyDescent="0.3">
      <c r="A283">
        <f ca="1"/>
        <v>282</v>
      </c>
      <c r="B283" t="str">
        <f ca="1"/>
        <v>20021702</v>
      </c>
      <c r="C283" t="str">
        <f ca="1"/>
        <v>김예은</v>
      </c>
      <c r="D283" t="str">
        <f ca="1"/>
        <v>연구본부</v>
      </c>
      <c r="E283" t="str">
        <f ca="1"/>
        <v>QA팀</v>
      </c>
      <c r="F283" t="str">
        <f ca="1"/>
        <v>데이터검수</v>
      </c>
      <c r="G283" t="str">
        <f ca="1"/>
        <v>Temporary</v>
      </c>
      <c r="H283" t="str">
        <f ca="1"/>
        <v>계약직</v>
      </c>
      <c r="I283">
        <f ca="1"/>
        <v>43878</v>
      </c>
      <c r="J283">
        <f ca="1"/>
        <v>43878</v>
      </c>
      <c r="K283" t="str">
        <f ca="1"/>
        <v>계약직</v>
      </c>
      <c r="L283" t="str">
        <f ca="1"/>
        <v>사무직</v>
      </c>
      <c r="M283" t="str">
        <f ca="1"/>
        <v>퇴직</v>
      </c>
      <c r="N283" t="str">
        <f ca="1"/>
        <v>951222-2184716</v>
      </c>
      <c r="O283">
        <f ca="1"/>
        <v>35055</v>
      </c>
      <c r="P283" t="str">
        <f ca="1"/>
        <v>여</v>
      </c>
      <c r="Q283">
        <f ca="1"/>
        <v>31</v>
      </c>
      <c r="R283">
        <f ca="1"/>
        <v>29</v>
      </c>
      <c r="S283" t="str">
        <f ca="1"/>
        <v>010-2883-3317</v>
      </c>
      <c r="T283" t="str">
        <f ca="1"/>
        <v>서울시 마포구 대흥동 768-1 305호</v>
      </c>
      <c r="U283">
        <f ca="1"/>
        <v>0</v>
      </c>
    </row>
    <row r="284" spans="1:21" x14ac:dyDescent="0.3">
      <c r="A284">
        <f ca="1"/>
        <v>283</v>
      </c>
      <c r="B284">
        <f ca="1"/>
        <v>17052901</v>
      </c>
      <c r="C284" t="str">
        <f ca="1"/>
        <v>배정환</v>
      </c>
      <c r="D284" t="str">
        <f ca="1"/>
        <v>프로덕트본부</v>
      </c>
      <c r="E284" t="str">
        <f ca="1"/>
        <v>Medical Web Application팀</v>
      </c>
      <c r="F284" t="str">
        <f ca="1"/>
        <v>M.W.A</v>
      </c>
      <c r="G284" t="str">
        <f ca="1"/>
        <v>Member</v>
      </c>
      <c r="H284" t="str">
        <f ca="1"/>
        <v>멤버</v>
      </c>
      <c r="I284">
        <f ca="1"/>
        <v>42884</v>
      </c>
      <c r="J284">
        <f ca="1"/>
        <v>42884</v>
      </c>
      <c r="K284" t="str">
        <f ca="1"/>
        <v>정규직</v>
      </c>
      <c r="L284" t="str">
        <f ca="1"/>
        <v>연구직</v>
      </c>
      <c r="M284" t="str">
        <f ca="1"/>
        <v>퇴직</v>
      </c>
      <c r="N284" t="str">
        <f ca="1"/>
        <v>891114-1784039</v>
      </c>
      <c r="O284">
        <f ca="1"/>
        <v>32826</v>
      </c>
      <c r="P284" t="str">
        <f ca="1"/>
        <v>남</v>
      </c>
      <c r="Q284">
        <f ca="1"/>
        <v>37</v>
      </c>
      <c r="R284">
        <f ca="1"/>
        <v>35</v>
      </c>
      <c r="S284" t="str">
        <f ca="1"/>
        <v>010-2585-7909</v>
      </c>
      <c r="T284" t="str">
        <f ca="1"/>
        <v>서울특별시 관악구 관악로11길 27, 102호</v>
      </c>
      <c r="U284" t="str">
        <f ca="1"/>
        <v>jhbaessi@neurophet.com</v>
      </c>
    </row>
    <row r="285" spans="1:21" x14ac:dyDescent="0.3">
      <c r="A285">
        <f ca="1"/>
        <v>284</v>
      </c>
      <c r="B285">
        <f ca="1"/>
        <v>19070101</v>
      </c>
      <c r="C285" t="str">
        <f ca="1"/>
        <v>김다혜</v>
      </c>
      <c r="D285" t="str">
        <f ca="1"/>
        <v>비즈니스본부</v>
      </c>
      <c r="E285" t="str">
        <f ca="1"/>
        <v>마케팅팀</v>
      </c>
      <c r="F285" t="str">
        <f ca="1"/>
        <v>마케팅</v>
      </c>
      <c r="G285" t="str">
        <f ca="1"/>
        <v>Member</v>
      </c>
      <c r="H285" t="str">
        <f ca="1"/>
        <v>멤버</v>
      </c>
      <c r="I285">
        <f ca="1"/>
        <v>43647</v>
      </c>
      <c r="J285">
        <f ca="1"/>
        <v>43647</v>
      </c>
      <c r="K285" t="str">
        <f ca="1"/>
        <v>정규직</v>
      </c>
      <c r="L285" t="str">
        <f ca="1"/>
        <v>사무직</v>
      </c>
      <c r="M285" t="str">
        <f ca="1"/>
        <v>퇴직</v>
      </c>
      <c r="N285" t="str">
        <f ca="1"/>
        <v>890210-2162718</v>
      </c>
      <c r="O285">
        <f ca="1"/>
        <v>32549</v>
      </c>
      <c r="P285" t="str">
        <f ca="1"/>
        <v>여</v>
      </c>
      <c r="Q285">
        <f ca="1"/>
        <v>37</v>
      </c>
      <c r="R285">
        <f ca="1"/>
        <v>36</v>
      </c>
      <c r="S285" t="str">
        <f ca="1"/>
        <v>010-7272-4345</v>
      </c>
      <c r="T285" t="str">
        <f ca="1"/>
        <v>경기도 수원시 권선구 동수원로 145번길 23, 수원아이파크시티 407동 1401호</v>
      </c>
      <c r="U285" t="str">
        <f ca="1"/>
        <v>dhkim@neurophet.com</v>
      </c>
    </row>
    <row r="286" spans="1:21" x14ac:dyDescent="0.3">
      <c r="A286">
        <f ca="1"/>
        <v>285</v>
      </c>
      <c r="B286">
        <f ca="1"/>
        <v>20030105</v>
      </c>
      <c r="C286" t="str">
        <f ca="1"/>
        <v>정지혜</v>
      </c>
      <c r="D286" t="str">
        <f ca="1"/>
        <v>비즈니스본부</v>
      </c>
      <c r="E286" t="str">
        <f ca="1"/>
        <v>브랜드커뮤니케이션</v>
      </c>
      <c r="F286" t="str">
        <f ca="1"/>
        <v>마케팅</v>
      </c>
      <c r="G286" t="str">
        <f ca="1"/>
        <v>Member</v>
      </c>
      <c r="H286" t="str">
        <f ca="1"/>
        <v>멤버</v>
      </c>
      <c r="I286">
        <f ca="1"/>
        <v>43891</v>
      </c>
      <c r="J286">
        <f ca="1"/>
        <v>43891</v>
      </c>
      <c r="K286" t="str">
        <f ca="1"/>
        <v>정규직</v>
      </c>
      <c r="L286" t="str">
        <f ca="1"/>
        <v>사무직</v>
      </c>
      <c r="M286" t="str">
        <f ca="1"/>
        <v>퇴직</v>
      </c>
      <c r="N286" t="str">
        <f ca="1"/>
        <v>880118-2079428</v>
      </c>
      <c r="O286">
        <f ca="1"/>
        <v>32160</v>
      </c>
      <c r="P286" t="str">
        <f ca="1"/>
        <v>여</v>
      </c>
      <c r="Q286">
        <f ca="1"/>
        <v>38</v>
      </c>
      <c r="R286">
        <f ca="1"/>
        <v>37</v>
      </c>
      <c r="S286" t="str">
        <f ca="1"/>
        <v>010-7262-0735</v>
      </c>
      <c r="T286" t="str">
        <f ca="1"/>
        <v>서울시 광진구 동일로 178 캠퍼스시티 409호</v>
      </c>
      <c r="U286" t="str">
        <f ca="1"/>
        <v>jhjung@neurophet.com</v>
      </c>
    </row>
    <row r="287" spans="1:21" x14ac:dyDescent="0.3">
      <c r="A287">
        <f ca="1"/>
        <v>286</v>
      </c>
      <c r="B287">
        <f ca="1"/>
        <v>18121701</v>
      </c>
      <c r="C287" t="str">
        <f ca="1"/>
        <v>이정아</v>
      </c>
      <c r="D287" t="str">
        <f ca="1"/>
        <v>프로덕트본부</v>
      </c>
      <c r="E287" t="str">
        <f ca="1"/>
        <v>QA팀</v>
      </c>
      <c r="F287" t="str">
        <f ca="1"/>
        <v>QC</v>
      </c>
      <c r="G287" t="str">
        <f ca="1"/>
        <v>Lead</v>
      </c>
      <c r="H287" t="str">
        <f ca="1"/>
        <v>멤버</v>
      </c>
      <c r="I287">
        <f ca="1"/>
        <v>43451</v>
      </c>
      <c r="J287">
        <f ca="1"/>
        <v>43451</v>
      </c>
      <c r="K287" t="str">
        <f ca="1"/>
        <v>정규직</v>
      </c>
      <c r="L287" t="str">
        <f ca="1"/>
        <v>연구직</v>
      </c>
      <c r="M287" t="str">
        <f ca="1"/>
        <v>퇴직</v>
      </c>
      <c r="N287" t="str">
        <f ca="1"/>
        <v>921202-2056531</v>
      </c>
      <c r="O287">
        <f ca="1"/>
        <v>33940</v>
      </c>
      <c r="P287" t="str">
        <f ca="1"/>
        <v>여</v>
      </c>
      <c r="Q287">
        <f ca="1"/>
        <v>34</v>
      </c>
      <c r="R287">
        <f ca="1"/>
        <v>32</v>
      </c>
      <c r="S287" t="str">
        <f ca="1"/>
        <v>010-9907-0369</v>
      </c>
      <c r="T287" t="str">
        <f ca="1"/>
        <v>서울시 동작구 국사봉길 73-8 202호</v>
      </c>
      <c r="U287" t="str">
        <f ca="1"/>
        <v>jellyja@neurophet.com</v>
      </c>
    </row>
    <row r="288" spans="1:21" x14ac:dyDescent="0.3">
      <c r="A288">
        <f ca="1"/>
        <v>287</v>
      </c>
      <c r="B288">
        <f ca="1"/>
        <v>19030102</v>
      </c>
      <c r="C288" t="str">
        <f ca="1"/>
        <v>정민영</v>
      </c>
      <c r="D288" t="str">
        <f ca="1"/>
        <v>프로덕트본부</v>
      </c>
      <c r="E288" t="str">
        <f ca="1"/>
        <v>AQUA</v>
      </c>
      <c r="F288" t="str">
        <f ca="1"/>
        <v>Backend</v>
      </c>
      <c r="G288" t="str">
        <f ca="1"/>
        <v>Lead</v>
      </c>
      <c r="H288" t="str">
        <f ca="1"/>
        <v>멤버</v>
      </c>
      <c r="I288">
        <f ca="1"/>
        <v>43525</v>
      </c>
      <c r="J288">
        <f ca="1"/>
        <v>43525</v>
      </c>
      <c r="K288" t="str">
        <f ca="1"/>
        <v>정규직</v>
      </c>
      <c r="L288" t="str">
        <f ca="1"/>
        <v>연구직</v>
      </c>
      <c r="M288" t="str">
        <f ca="1"/>
        <v>퇴직</v>
      </c>
      <c r="N288" t="str">
        <f ca="1"/>
        <v>840910-1029420</v>
      </c>
      <c r="O288">
        <f ca="1"/>
        <v>30935</v>
      </c>
      <c r="P288" t="str">
        <f ca="1"/>
        <v>남</v>
      </c>
      <c r="Q288">
        <f ca="1"/>
        <v>42</v>
      </c>
      <c r="R288">
        <f ca="1"/>
        <v>40</v>
      </c>
      <c r="S288" t="str">
        <f ca="1"/>
        <v>010-8010-4790</v>
      </c>
      <c r="T288" t="str">
        <f ca="1"/>
        <v>인천 부평구 십정동 409-23 DH씨밀레 1001호</v>
      </c>
      <c r="U288" t="str">
        <f ca="1"/>
        <v xml:space="preserve">minyoung.jung@neurophet.com </v>
      </c>
    </row>
    <row r="289" spans="1:21" x14ac:dyDescent="0.3">
      <c r="A289">
        <f ca="1"/>
        <v>288</v>
      </c>
      <c r="B289">
        <f ca="1"/>
        <v>19060102</v>
      </c>
      <c r="C289" t="str">
        <f ca="1"/>
        <v>정신유</v>
      </c>
      <c r="D289" t="str">
        <f ca="1"/>
        <v>연구본부</v>
      </c>
      <c r="E289" t="str">
        <f ca="1"/>
        <v>Neuroimaging팀</v>
      </c>
      <c r="F289" t="str">
        <f ca="1"/>
        <v>신경망</v>
      </c>
      <c r="G289" t="str">
        <f ca="1"/>
        <v>Member</v>
      </c>
      <c r="H289" t="str">
        <f ca="1"/>
        <v>멤버</v>
      </c>
      <c r="I289">
        <f ca="1"/>
        <v>43626</v>
      </c>
      <c r="J289">
        <f ca="1"/>
        <v>43626</v>
      </c>
      <c r="K289" t="str">
        <f ca="1"/>
        <v>정규직</v>
      </c>
      <c r="L289" t="str">
        <f ca="1"/>
        <v>연구직</v>
      </c>
      <c r="M289" t="str">
        <f ca="1"/>
        <v>퇴직</v>
      </c>
      <c r="N289" t="str">
        <f ca="1"/>
        <v>910808-1069017</v>
      </c>
      <c r="O289">
        <f ca="1"/>
        <v>33458</v>
      </c>
      <c r="P289" t="str">
        <f ca="1"/>
        <v>남</v>
      </c>
      <c r="Q289">
        <f ca="1"/>
        <v>35</v>
      </c>
      <c r="R289">
        <f ca="1"/>
        <v>33</v>
      </c>
      <c r="S289" t="str">
        <f ca="1"/>
        <v>010-9557-2963</v>
      </c>
      <c r="T289" t="str">
        <f ca="1"/>
        <v>서울시 관악구</v>
      </c>
      <c r="U289" t="str">
        <f ca="1"/>
        <v>sinyu.jeong@neurophet.com</v>
      </c>
    </row>
    <row r="290" spans="1:21" x14ac:dyDescent="0.3">
      <c r="A290">
        <f ca="1"/>
        <v>289</v>
      </c>
      <c r="B290">
        <f ca="1"/>
        <v>19092301</v>
      </c>
      <c r="C290" t="str">
        <f ca="1"/>
        <v>김한솔</v>
      </c>
      <c r="D290" t="str">
        <f ca="1"/>
        <v>프로덕트본부</v>
      </c>
      <c r="E290" t="str">
        <f ca="1"/>
        <v>Infra Team</v>
      </c>
      <c r="F290" t="str">
        <f ca="1"/>
        <v>Frontend</v>
      </c>
      <c r="G290" t="str">
        <f ca="1"/>
        <v>Member</v>
      </c>
      <c r="H290" t="str">
        <f ca="1"/>
        <v>멤버</v>
      </c>
      <c r="I290">
        <f ca="1"/>
        <v>43731</v>
      </c>
      <c r="J290">
        <f ca="1"/>
        <v>43731</v>
      </c>
      <c r="K290" t="str">
        <f ca="1"/>
        <v>정규직</v>
      </c>
      <c r="L290" t="str">
        <f ca="1"/>
        <v>연구직</v>
      </c>
      <c r="M290" t="str">
        <f ca="1"/>
        <v>퇴직</v>
      </c>
      <c r="N290" t="str">
        <f ca="1"/>
        <v>931210-2409011</v>
      </c>
      <c r="O290">
        <f ca="1"/>
        <v>34313</v>
      </c>
      <c r="P290" t="str">
        <f ca="1"/>
        <v>여</v>
      </c>
      <c r="Q290">
        <f ca="1"/>
        <v>33</v>
      </c>
      <c r="R290">
        <f ca="1"/>
        <v>31</v>
      </c>
      <c r="S290" t="str">
        <f ca="1"/>
        <v>010-2094-1210</v>
      </c>
      <c r="T290" t="str">
        <f ca="1"/>
        <v>서울시 관악구 은천로 21-4 301호</v>
      </c>
      <c r="U290" t="str">
        <f ca="1"/>
        <v>hs.kim@neurophet.com</v>
      </c>
    </row>
    <row r="291" spans="1:21" x14ac:dyDescent="0.3">
      <c r="A291">
        <f ca="1"/>
        <v>290</v>
      </c>
      <c r="B291" t="str">
        <f ca="1"/>
        <v>19011401</v>
      </c>
      <c r="C291" t="str">
        <f ca="1"/>
        <v>박기철</v>
      </c>
      <c r="D291" t="str">
        <f ca="1"/>
        <v>연구본부</v>
      </c>
      <c r="E291" t="str">
        <f ca="1"/>
        <v>연구상용화</v>
      </c>
      <c r="F291" t="str">
        <f ca="1"/>
        <v>C++</v>
      </c>
      <c r="G291" t="str">
        <f ca="1"/>
        <v>Member</v>
      </c>
      <c r="H291" t="str">
        <f ca="1"/>
        <v>멤버</v>
      </c>
      <c r="I291">
        <f ca="1"/>
        <v>43479</v>
      </c>
      <c r="J291">
        <f ca="1"/>
        <v>43479</v>
      </c>
      <c r="K291" t="str">
        <f ca="1"/>
        <v>정규직</v>
      </c>
      <c r="L291" t="str">
        <f ca="1"/>
        <v>연구직</v>
      </c>
      <c r="M291" t="str">
        <f ca="1"/>
        <v>퇴직</v>
      </c>
      <c r="N291" t="str">
        <f ca="1"/>
        <v>860420-1012214</v>
      </c>
      <c r="O291">
        <f ca="1"/>
        <v>31522</v>
      </c>
      <c r="P291" t="str">
        <f ca="1"/>
        <v>남</v>
      </c>
      <c r="Q291">
        <f ca="1"/>
        <v>40</v>
      </c>
      <c r="R291">
        <f ca="1"/>
        <v>38</v>
      </c>
      <c r="S291" t="str">
        <f ca="1"/>
        <v xml:space="preserve">010-5284-1263 </v>
      </c>
      <c r="T291" t="str">
        <f ca="1"/>
        <v>인천광역시 부평구 부평동</v>
      </c>
      <c r="U291" t="str">
        <f ca="1"/>
        <v>mstst33@neurophet.com</v>
      </c>
    </row>
    <row r="292" spans="1:21" x14ac:dyDescent="0.3">
      <c r="A292">
        <f ca="1"/>
        <v>291</v>
      </c>
      <c r="B292" t="str">
        <f ca="1"/>
        <v>17090401</v>
      </c>
      <c r="C292" t="str">
        <f ca="1"/>
        <v>정다운</v>
      </c>
      <c r="D292" t="str">
        <f ca="1"/>
        <v>연구본부</v>
      </c>
      <c r="E292" t="str">
        <f ca="1"/>
        <v>Neuroimaging팀</v>
      </c>
      <c r="F292" t="str">
        <f ca="1"/>
        <v>신경망</v>
      </c>
      <c r="G292" t="str">
        <f ca="1"/>
        <v>Member</v>
      </c>
      <c r="H292" t="str">
        <f ca="1"/>
        <v>멤버</v>
      </c>
      <c r="I292">
        <f ca="1"/>
        <v>42982</v>
      </c>
      <c r="J292">
        <f ca="1"/>
        <v>42982</v>
      </c>
      <c r="K292" t="str">
        <f ca="1"/>
        <v>정규직</v>
      </c>
      <c r="L292" t="str">
        <f ca="1"/>
        <v>연구직</v>
      </c>
      <c r="M292" t="str">
        <f ca="1"/>
        <v>퇴직</v>
      </c>
      <c r="N292" t="str">
        <f ca="1"/>
        <v>990923-1236511</v>
      </c>
      <c r="O292">
        <f ca="1"/>
        <v>36426</v>
      </c>
      <c r="P292" t="str">
        <f ca="1"/>
        <v>남</v>
      </c>
      <c r="Q292">
        <f ca="1"/>
        <v>27</v>
      </c>
      <c r="R292">
        <f ca="1"/>
        <v>25</v>
      </c>
      <c r="S292" t="str">
        <f ca="1"/>
        <v>010-9083-1352</v>
      </c>
      <c r="T292">
        <f ca="1"/>
        <v>0</v>
      </c>
      <c r="U292" t="str">
        <f ca="1"/>
        <v>djjung@neurophet.com</v>
      </c>
    </row>
    <row r="293" spans="1:21" x14ac:dyDescent="0.3">
      <c r="A293">
        <f ca="1"/>
        <v>292</v>
      </c>
      <c r="B293" t="str">
        <f ca="1"/>
        <v>19030101</v>
      </c>
      <c r="C293" t="str">
        <f ca="1"/>
        <v>손성진</v>
      </c>
      <c r="D293" t="str">
        <f ca="1"/>
        <v>연구본부</v>
      </c>
      <c r="E293" t="str">
        <f ca="1"/>
        <v>Neuroimaging팀</v>
      </c>
      <c r="F293" t="str">
        <f ca="1"/>
        <v>신경망</v>
      </c>
      <c r="G293" t="str">
        <f ca="1"/>
        <v>Member</v>
      </c>
      <c r="H293" t="str">
        <f ca="1"/>
        <v>멤버</v>
      </c>
      <c r="I293">
        <f ca="1"/>
        <v>43525</v>
      </c>
      <c r="J293">
        <f ca="1"/>
        <v>43525</v>
      </c>
      <c r="K293" t="str">
        <f ca="1"/>
        <v>정규직</v>
      </c>
      <c r="L293" t="str">
        <f ca="1"/>
        <v>연구직</v>
      </c>
      <c r="M293" t="str">
        <f ca="1"/>
        <v>퇴직</v>
      </c>
      <c r="N293" t="str">
        <f ca="1"/>
        <v>881002-1157415</v>
      </c>
      <c r="O293">
        <f ca="1"/>
        <v>32418</v>
      </c>
      <c r="P293" t="str">
        <f ca="1"/>
        <v>남</v>
      </c>
      <c r="Q293">
        <f ca="1"/>
        <v>38</v>
      </c>
      <c r="R293">
        <f ca="1"/>
        <v>36</v>
      </c>
      <c r="S293" t="str">
        <f ca="1"/>
        <v>010-5267-6853</v>
      </c>
      <c r="T293">
        <f ca="1"/>
        <v>0</v>
      </c>
      <c r="U293" t="str">
        <f ca="1"/>
        <v>sjson@neurophet.com</v>
      </c>
    </row>
    <row r="294" spans="1:21" x14ac:dyDescent="0.3">
      <c r="A294">
        <f ca="1"/>
        <v>293</v>
      </c>
      <c r="B294" t="str">
        <f ca="1"/>
        <v>19020101</v>
      </c>
      <c r="C294" t="str">
        <f ca="1"/>
        <v>김선직</v>
      </c>
      <c r="D294" t="str">
        <f ca="1"/>
        <v>연구본부</v>
      </c>
      <c r="E294" t="str">
        <f ca="1"/>
        <v>Neuroimaging팀</v>
      </c>
      <c r="F294" t="str">
        <f ca="1"/>
        <v>데이터</v>
      </c>
      <c r="G294" t="str">
        <f ca="1"/>
        <v>Member</v>
      </c>
      <c r="H294" t="str">
        <f ca="1"/>
        <v>멤버</v>
      </c>
      <c r="I294">
        <f ca="1"/>
        <v>43497</v>
      </c>
      <c r="J294">
        <f ca="1"/>
        <v>43497</v>
      </c>
      <c r="K294" t="str">
        <f ca="1"/>
        <v>정규직</v>
      </c>
      <c r="L294" t="str">
        <f ca="1"/>
        <v>연구직</v>
      </c>
      <c r="M294" t="str">
        <f ca="1"/>
        <v>퇴직</v>
      </c>
      <c r="N294" t="str">
        <f ca="1"/>
        <v>920604-1683215</v>
      </c>
      <c r="O294">
        <f ca="1"/>
        <v>33759</v>
      </c>
      <c r="P294" t="str">
        <f ca="1"/>
        <v>남</v>
      </c>
      <c r="Q294">
        <f ca="1"/>
        <v>34</v>
      </c>
      <c r="R294">
        <f ca="1"/>
        <v>32</v>
      </c>
      <c r="S294" t="str">
        <f ca="1"/>
        <v>010-2065-8297</v>
      </c>
      <c r="T294">
        <f ca="1"/>
        <v>0</v>
      </c>
      <c r="U294" t="str">
        <f ca="1"/>
        <v>beelinekim@neurophet.com</v>
      </c>
    </row>
    <row r="295" spans="1:21" x14ac:dyDescent="0.3">
      <c r="A295">
        <f ca="1"/>
        <v>294</v>
      </c>
      <c r="B295">
        <f ca="1"/>
        <v>17101701</v>
      </c>
      <c r="C295" t="str">
        <f ca="1"/>
        <v>용정현</v>
      </c>
      <c r="D295" t="str">
        <f ca="1"/>
        <v>연구본부</v>
      </c>
      <c r="E295" t="str">
        <f ca="1"/>
        <v>TechOps팀</v>
      </c>
      <c r="F295" t="str">
        <f ca="1"/>
        <v>데이터검수</v>
      </c>
      <c r="G295" t="str">
        <f ca="1"/>
        <v>Member</v>
      </c>
      <c r="H295" t="str">
        <f ca="1"/>
        <v>멤버</v>
      </c>
      <c r="I295">
        <f ca="1"/>
        <v>43040</v>
      </c>
      <c r="J295">
        <f ca="1"/>
        <v>43040</v>
      </c>
      <c r="K295" t="str">
        <f ca="1"/>
        <v>계약직</v>
      </c>
      <c r="L295" t="str">
        <f ca="1"/>
        <v>연구직</v>
      </c>
      <c r="M295" t="str">
        <f ca="1"/>
        <v>퇴직</v>
      </c>
      <c r="N295" t="str">
        <f ca="1"/>
        <v>940721-1047112</v>
      </c>
      <c r="O295">
        <f ca="1"/>
        <v>34536</v>
      </c>
      <c r="P295" t="str">
        <f ca="1"/>
        <v>남</v>
      </c>
      <c r="Q295">
        <f ca="1"/>
        <v>32</v>
      </c>
      <c r="R295">
        <f ca="1"/>
        <v>30</v>
      </c>
      <c r="S295" t="str">
        <f ca="1"/>
        <v>010-2274-5871</v>
      </c>
      <c r="T295" t="str">
        <f ca="1"/>
        <v>서울특별시 강남구 삼성로69길 41, 102호</v>
      </c>
      <c r="U295" t="str">
        <f ca="1"/>
        <v>yong@neurophet.com</v>
      </c>
    </row>
    <row r="296" spans="1:21" x14ac:dyDescent="0.3">
      <c r="A296">
        <f ca="1"/>
        <v>295</v>
      </c>
      <c r="B296" t="str">
        <f ca="1"/>
        <v>19101701</v>
      </c>
      <c r="C296" t="str">
        <f ca="1"/>
        <v>손석현</v>
      </c>
      <c r="D296" t="str">
        <f ca="1"/>
        <v>연구본부</v>
      </c>
      <c r="E296" t="str">
        <f ca="1"/>
        <v>임상연구팀</v>
      </c>
      <c r="F296" t="str">
        <f ca="1"/>
        <v>임상시험 및 업무지원</v>
      </c>
      <c r="G296" t="str">
        <f ca="1"/>
        <v>Temporary</v>
      </c>
      <c r="H296" t="str">
        <f ca="1"/>
        <v>계약직</v>
      </c>
      <c r="I296">
        <f ca="1"/>
        <v>43755</v>
      </c>
      <c r="J296">
        <f ca="1"/>
        <v>43755</v>
      </c>
      <c r="K296" t="str">
        <f ca="1"/>
        <v>계약직</v>
      </c>
      <c r="L296" t="str">
        <f ca="1"/>
        <v>사무직</v>
      </c>
      <c r="M296" t="str">
        <f ca="1"/>
        <v>퇴직</v>
      </c>
      <c r="N296" t="str">
        <f ca="1"/>
        <v>970505-1178518</v>
      </c>
      <c r="O296">
        <f ca="1"/>
        <v>35555</v>
      </c>
      <c r="P296" t="str">
        <f ca="1"/>
        <v>남</v>
      </c>
      <c r="Q296">
        <f ca="1"/>
        <v>29</v>
      </c>
      <c r="R296">
        <f ca="1"/>
        <v>27</v>
      </c>
      <c r="S296" t="str">
        <f ca="1"/>
        <v>010-7756-7650</v>
      </c>
      <c r="T296" t="str">
        <f ca="1"/>
        <v>경기도 수원시 영통구 인계로 189번길 14</v>
      </c>
      <c r="U296">
        <f ca="1"/>
        <v>0</v>
      </c>
    </row>
    <row r="297" spans="1:21" x14ac:dyDescent="0.3">
      <c r="A297">
        <f ca="1"/>
        <v>296</v>
      </c>
      <c r="B297" t="str">
        <f ca="1"/>
        <v>17060501</v>
      </c>
      <c r="C297" t="str">
        <f ca="1"/>
        <v>김이진</v>
      </c>
      <c r="D297" t="str">
        <f ca="1"/>
        <v>경영본부</v>
      </c>
      <c r="E297" t="str">
        <f ca="1"/>
        <v>운영전략팀</v>
      </c>
      <c r="F297" t="str">
        <f ca="1"/>
        <v>인사</v>
      </c>
      <c r="G297" t="str">
        <f ca="1"/>
        <v>Member</v>
      </c>
      <c r="H297" t="str">
        <f ca="1"/>
        <v>멤버</v>
      </c>
      <c r="I297">
        <f ca="1"/>
        <v>42891</v>
      </c>
      <c r="J297">
        <f ca="1"/>
        <v>42891</v>
      </c>
      <c r="K297" t="str">
        <f ca="1"/>
        <v>정규직</v>
      </c>
      <c r="L297" t="str">
        <f ca="1"/>
        <v>사무직</v>
      </c>
      <c r="M297" t="str">
        <f ca="1"/>
        <v>퇴직</v>
      </c>
      <c r="N297" t="str">
        <f ca="1"/>
        <v>910927-2148916</v>
      </c>
      <c r="O297">
        <f ca="1"/>
        <v>33508</v>
      </c>
      <c r="P297" t="str">
        <f ca="1"/>
        <v>여</v>
      </c>
      <c r="Q297">
        <f ca="1"/>
        <v>35</v>
      </c>
      <c r="R297">
        <f ca="1"/>
        <v>33</v>
      </c>
      <c r="S297" t="str">
        <f ca="1"/>
        <v>010-2501-9829</v>
      </c>
      <c r="T297">
        <f ca="1"/>
        <v>0</v>
      </c>
      <c r="U297" t="str">
        <f ca="1"/>
        <v>yijin.kim@neurophet.com</v>
      </c>
    </row>
    <row r="298" spans="1:21" x14ac:dyDescent="0.3">
      <c r="A298">
        <f ca="1"/>
        <v>297</v>
      </c>
      <c r="B298">
        <f ca="1"/>
        <v>19062400</v>
      </c>
      <c r="C298" t="str">
        <f ca="1"/>
        <v>김현수..</v>
      </c>
      <c r="D298" t="str">
        <f ca="1"/>
        <v>연구본부</v>
      </c>
      <c r="E298" t="str">
        <f ca="1"/>
        <v>임상연구팀</v>
      </c>
      <c r="F298" t="str">
        <f ca="1"/>
        <v>임상시험 및 업무지원</v>
      </c>
      <c r="G298" t="str">
        <f ca="1"/>
        <v>Temporary</v>
      </c>
      <c r="H298" t="str">
        <f ca="1"/>
        <v>계약직</v>
      </c>
      <c r="I298">
        <f ca="1"/>
        <v>43640</v>
      </c>
      <c r="J298">
        <f ca="1"/>
        <v>43640</v>
      </c>
      <c r="K298" t="str">
        <f ca="1"/>
        <v>계약직</v>
      </c>
      <c r="L298" t="str">
        <f ca="1"/>
        <v>사무직</v>
      </c>
      <c r="M298" t="str">
        <f ca="1"/>
        <v>퇴직</v>
      </c>
      <c r="N298" t="str">
        <f ca="1"/>
        <v>991019-1235224</v>
      </c>
      <c r="O298">
        <f ca="1"/>
        <v>36452</v>
      </c>
      <c r="P298" t="str">
        <f ca="1"/>
        <v>남</v>
      </c>
      <c r="Q298">
        <f ca="1"/>
        <v>27</v>
      </c>
      <c r="R298">
        <f ca="1"/>
        <v>25</v>
      </c>
      <c r="S298" t="str">
        <f ca="1"/>
        <v>010-8911-8732</v>
      </c>
      <c r="T298" t="str">
        <f ca="1"/>
        <v>서울특별시 성동구 둘레19길 5 강변임광아파트 101동 907호</v>
      </c>
      <c r="U298" t="str">
        <f ca="1"/>
        <v>khs@neurophet.com</v>
      </c>
    </row>
    <row r="299" spans="1:21" x14ac:dyDescent="0.3">
      <c r="A299">
        <f ca="1"/>
        <v>298</v>
      </c>
      <c r="B299" t="str">
        <f ca="1"/>
        <v>18090101</v>
      </c>
      <c r="C299" t="str">
        <f ca="1"/>
        <v>노승택</v>
      </c>
      <c r="D299" t="str">
        <f ca="1"/>
        <v>경영본부</v>
      </c>
      <c r="E299" t="str">
        <f ca="1"/>
        <v>운영전략팀</v>
      </c>
      <c r="F299">
        <f ca="1"/>
        <v>0</v>
      </c>
      <c r="G299" t="str">
        <f ca="1"/>
        <v>Lead</v>
      </c>
      <c r="H299" t="str">
        <f ca="1"/>
        <v>멤버</v>
      </c>
      <c r="I299">
        <f ca="1"/>
        <v>43344</v>
      </c>
      <c r="J299">
        <f ca="1"/>
        <v>43344</v>
      </c>
      <c r="K299" t="str">
        <f ca="1"/>
        <v>정규직</v>
      </c>
      <c r="L299" t="str">
        <f ca="1"/>
        <v>사무직</v>
      </c>
      <c r="M299" t="str">
        <f ca="1"/>
        <v>퇴직</v>
      </c>
      <c r="N299" t="str">
        <f ca="1"/>
        <v>760819-1029722</v>
      </c>
      <c r="O299">
        <f ca="1"/>
        <v>27991</v>
      </c>
      <c r="P299" t="str">
        <f ca="1"/>
        <v>남</v>
      </c>
      <c r="Q299">
        <f ca="1"/>
        <v>50</v>
      </c>
      <c r="R299">
        <f ca="1"/>
        <v>48</v>
      </c>
      <c r="S299">
        <f ca="1"/>
        <v>0</v>
      </c>
      <c r="T299">
        <f ca="1"/>
        <v>0</v>
      </c>
      <c r="U299">
        <f ca="1"/>
        <v>0</v>
      </c>
    </row>
    <row r="300" spans="1:21" x14ac:dyDescent="0.3">
      <c r="A300">
        <f ca="1"/>
        <v>299</v>
      </c>
      <c r="B300" t="str">
        <f ca="1"/>
        <v>19021801</v>
      </c>
      <c r="C300" t="str">
        <f ca="1"/>
        <v>문하영</v>
      </c>
      <c r="D300" t="str">
        <f ca="1"/>
        <v>경영본부</v>
      </c>
      <c r="E300" t="str">
        <f ca="1"/>
        <v>운영전략팀</v>
      </c>
      <c r="F300" t="str">
        <f ca="1"/>
        <v>Sales&amp;Marketing</v>
      </c>
      <c r="G300" t="str">
        <f ca="1"/>
        <v>Member</v>
      </c>
      <c r="H300" t="str">
        <f ca="1"/>
        <v>멤버</v>
      </c>
      <c r="I300">
        <f ca="1"/>
        <v>43514</v>
      </c>
      <c r="J300">
        <f ca="1"/>
        <v>43514</v>
      </c>
      <c r="K300" t="str">
        <f ca="1"/>
        <v>정규직</v>
      </c>
      <c r="L300" t="str">
        <f ca="1"/>
        <v>사무직</v>
      </c>
      <c r="M300" t="str">
        <f ca="1"/>
        <v>퇴직</v>
      </c>
      <c r="N300" t="str">
        <f ca="1"/>
        <v>710425-2691017</v>
      </c>
      <c r="O300">
        <f ca="1"/>
        <v>26048</v>
      </c>
      <c r="P300" t="str">
        <f ca="1"/>
        <v>여</v>
      </c>
      <c r="Q300">
        <f ca="1"/>
        <v>55</v>
      </c>
      <c r="R300">
        <f ca="1"/>
        <v>53</v>
      </c>
      <c r="S300">
        <f ca="1"/>
        <v>0</v>
      </c>
      <c r="T300">
        <f ca="1"/>
        <v>0</v>
      </c>
      <c r="U300">
        <f ca="1"/>
        <v>0</v>
      </c>
    </row>
    <row r="301" spans="1:21" x14ac:dyDescent="0.3">
      <c r="A301">
        <f ca="1"/>
        <v>300</v>
      </c>
      <c r="B301">
        <f ca="1"/>
        <v>19031901</v>
      </c>
      <c r="C301" t="str">
        <f ca="1"/>
        <v>정우진</v>
      </c>
      <c r="D301" t="str">
        <f ca="1"/>
        <v>연구본부</v>
      </c>
      <c r="E301" t="str">
        <f ca="1"/>
        <v>임상연구팀</v>
      </c>
      <c r="F301" t="str">
        <f ca="1"/>
        <v>임상시험 및 업무지원</v>
      </c>
      <c r="G301" t="str">
        <f ca="1"/>
        <v>Temporary</v>
      </c>
      <c r="H301" t="str">
        <f ca="1"/>
        <v>계약직</v>
      </c>
      <c r="I301">
        <f ca="1"/>
        <v>43543</v>
      </c>
      <c r="J301">
        <f ca="1"/>
        <v>43543</v>
      </c>
      <c r="K301" t="str">
        <f ca="1"/>
        <v>계약직</v>
      </c>
      <c r="L301" t="str">
        <f ca="1"/>
        <v>사무직</v>
      </c>
      <c r="M301" t="str">
        <f ca="1"/>
        <v>퇴직</v>
      </c>
      <c r="N301" t="str">
        <f ca="1"/>
        <v>950522-1051813</v>
      </c>
      <c r="O301">
        <f ca="1"/>
        <v>34841</v>
      </c>
      <c r="P301" t="str">
        <f ca="1"/>
        <v>남</v>
      </c>
      <c r="Q301">
        <f ca="1"/>
        <v>31</v>
      </c>
      <c r="R301">
        <f ca="1"/>
        <v>29</v>
      </c>
      <c r="S301" t="str">
        <f ca="1"/>
        <v>010-2050-4289</v>
      </c>
      <c r="T301">
        <f ca="1"/>
        <v>0</v>
      </c>
      <c r="U301">
        <f ca="1"/>
        <v>0</v>
      </c>
    </row>
    <row r="302" spans="1:21" x14ac:dyDescent="0.3">
      <c r="A302">
        <f ca="1"/>
        <v>301</v>
      </c>
      <c r="B302" t="str">
        <f ca="1"/>
        <v>18030101</v>
      </c>
      <c r="C302" t="str">
        <f ca="1"/>
        <v>강성욱</v>
      </c>
      <c r="D302" t="str">
        <f ca="1"/>
        <v>경영본부</v>
      </c>
      <c r="E302" t="str">
        <f ca="1"/>
        <v>운영전략팀</v>
      </c>
      <c r="F302" t="str">
        <f ca="1"/>
        <v>CBO</v>
      </c>
      <c r="G302" t="str">
        <f ca="1"/>
        <v>CBO</v>
      </c>
      <c r="H302" t="str">
        <f ca="1"/>
        <v>C-LEVEL</v>
      </c>
      <c r="I302">
        <f ca="1"/>
        <v>43160</v>
      </c>
      <c r="J302">
        <f ca="1"/>
        <v>43160</v>
      </c>
      <c r="K302" t="str">
        <f ca="1"/>
        <v>정규직</v>
      </c>
      <c r="L302" t="str">
        <f ca="1"/>
        <v>사무직</v>
      </c>
      <c r="M302" t="str">
        <f ca="1"/>
        <v>퇴직</v>
      </c>
      <c r="N302" t="str">
        <f ca="1"/>
        <v>840625-1009227</v>
      </c>
      <c r="O302">
        <f ca="1"/>
        <v>30858</v>
      </c>
      <c r="P302" t="str">
        <f ca="1"/>
        <v>남</v>
      </c>
      <c r="Q302">
        <f ca="1"/>
        <v>42</v>
      </c>
      <c r="R302">
        <f ca="1"/>
        <v>40</v>
      </c>
      <c r="S302">
        <f ca="1"/>
        <v>0</v>
      </c>
      <c r="T302">
        <f ca="1"/>
        <v>0</v>
      </c>
      <c r="U302">
        <f ca="1"/>
        <v>0</v>
      </c>
    </row>
    <row r="303" spans="1:21" x14ac:dyDescent="0.3">
      <c r="A303">
        <f ca="1"/>
        <v>302</v>
      </c>
      <c r="B303" t="str">
        <f ca="1"/>
        <v>18031201</v>
      </c>
      <c r="C303" t="str">
        <f ca="1"/>
        <v>고봉석</v>
      </c>
      <c r="D303" t="str">
        <f ca="1"/>
        <v>연구본부</v>
      </c>
      <c r="E303" t="str">
        <f ca="1"/>
        <v>연구개발팀</v>
      </c>
      <c r="F303" t="str">
        <f ca="1"/>
        <v>엔진고도라</v>
      </c>
      <c r="G303" t="str">
        <f ca="1"/>
        <v>Member</v>
      </c>
      <c r="H303" t="str">
        <f ca="1"/>
        <v>멤버</v>
      </c>
      <c r="I303">
        <f ca="1"/>
        <v>43171</v>
      </c>
      <c r="J303">
        <f ca="1"/>
        <v>43171</v>
      </c>
      <c r="K303" t="str">
        <f ca="1"/>
        <v>정규직</v>
      </c>
      <c r="L303" t="str">
        <f ca="1"/>
        <v>사무직</v>
      </c>
      <c r="M303" t="str">
        <f ca="1"/>
        <v>퇴직</v>
      </c>
      <c r="N303" t="str">
        <f ca="1"/>
        <v>930705-1019014</v>
      </c>
      <c r="O303">
        <f ca="1"/>
        <v>34155</v>
      </c>
      <c r="P303" t="str">
        <f ca="1"/>
        <v>남</v>
      </c>
      <c r="Q303">
        <f ca="1"/>
        <v>33</v>
      </c>
      <c r="R303">
        <f ca="1"/>
        <v>31</v>
      </c>
      <c r="S303">
        <f ca="1"/>
        <v>0</v>
      </c>
      <c r="T303">
        <f ca="1"/>
        <v>0</v>
      </c>
      <c r="U303">
        <f ca="1"/>
        <v>0</v>
      </c>
    </row>
    <row r="304" spans="1:21" x14ac:dyDescent="0.3">
      <c r="A304">
        <f ca="1"/>
        <v>303</v>
      </c>
      <c r="B304" t="str">
        <f ca="1"/>
        <v>18011101</v>
      </c>
      <c r="C304" t="str">
        <f ca="1"/>
        <v>이준호</v>
      </c>
      <c r="D304" t="str">
        <f ca="1"/>
        <v>연구본부</v>
      </c>
      <c r="E304" t="str">
        <f ca="1"/>
        <v>신경망</v>
      </c>
      <c r="F304">
        <f ca="1"/>
        <v>0</v>
      </c>
      <c r="G304" t="str">
        <f ca="1"/>
        <v>Member</v>
      </c>
      <c r="H304" t="str">
        <f ca="1"/>
        <v>멤버</v>
      </c>
      <c r="I304">
        <f ca="1"/>
        <v>43111</v>
      </c>
      <c r="J304">
        <f ca="1"/>
        <v>43111</v>
      </c>
      <c r="K304" t="str">
        <f ca="1"/>
        <v>정규직</v>
      </c>
      <c r="L304" t="str">
        <f ca="1"/>
        <v>연구직</v>
      </c>
      <c r="M304" t="str">
        <f ca="1"/>
        <v>퇴직</v>
      </c>
      <c r="N304" t="str">
        <f ca="1"/>
        <v>880104-1675519</v>
      </c>
      <c r="O304">
        <f ca="1"/>
        <v>32146</v>
      </c>
      <c r="P304" t="str">
        <f ca="1"/>
        <v>남</v>
      </c>
      <c r="Q304">
        <f ca="1"/>
        <v>38</v>
      </c>
      <c r="R304">
        <f ca="1"/>
        <v>37</v>
      </c>
      <c r="S304">
        <f ca="1"/>
        <v>0</v>
      </c>
      <c r="T304">
        <f ca="1"/>
        <v>0</v>
      </c>
      <c r="U304">
        <f ca="1"/>
        <v>0</v>
      </c>
    </row>
    <row r="305" spans="1:21" x14ac:dyDescent="0.3">
      <c r="A305">
        <f ca="1"/>
        <v>304</v>
      </c>
      <c r="B305" t="str">
        <f ca="1"/>
        <v>17052901</v>
      </c>
      <c r="C305" t="str">
        <f ca="1"/>
        <v>송성오</v>
      </c>
      <c r="D305" t="str">
        <f ca="1"/>
        <v>연구본부</v>
      </c>
      <c r="E305">
        <f ca="1"/>
        <v>0</v>
      </c>
      <c r="F305" t="str">
        <f ca="1"/>
        <v>sw개발지원</v>
      </c>
      <c r="G305" t="str">
        <f ca="1"/>
        <v>Member</v>
      </c>
      <c r="H305" t="str">
        <f ca="1"/>
        <v>멤버</v>
      </c>
      <c r="I305">
        <f ca="1"/>
        <v>42884</v>
      </c>
      <c r="J305">
        <f ca="1"/>
        <v>42884</v>
      </c>
      <c r="K305" t="str">
        <f ca="1"/>
        <v>정규직</v>
      </c>
      <c r="L305" t="str">
        <f ca="1"/>
        <v>연구직</v>
      </c>
      <c r="M305" t="str">
        <f ca="1"/>
        <v>퇴직</v>
      </c>
      <c r="N305" t="str">
        <f ca="1"/>
        <v>890116-1162818</v>
      </c>
      <c r="O305">
        <f ca="1"/>
        <v>32524</v>
      </c>
      <c r="P305" t="str">
        <f ca="1"/>
        <v>남</v>
      </c>
      <c r="Q305">
        <f ca="1"/>
        <v>37</v>
      </c>
      <c r="R305">
        <f ca="1"/>
        <v>36</v>
      </c>
      <c r="S305">
        <f ca="1"/>
        <v>0</v>
      </c>
      <c r="T305">
        <f ca="1"/>
        <v>0</v>
      </c>
      <c r="U305">
        <f ca="1"/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197C140CCD4334EAF0E2911DA575923" ma:contentTypeVersion="18" ma:contentTypeDescription="새 문서를 만듭니다." ma:contentTypeScope="" ma:versionID="d231dd3be939484d37878867043999bf">
  <xsd:schema xmlns:xsd="http://www.w3.org/2001/XMLSchema" xmlns:xs="http://www.w3.org/2001/XMLSchema" xmlns:p="http://schemas.microsoft.com/office/2006/metadata/properties" xmlns:ns2="47433736-ab1c-4237-8608-011e277942c4" xmlns:ns3="4bbbf409-420f-428f-8686-71d569889fe8" targetNamespace="http://schemas.microsoft.com/office/2006/metadata/properties" ma:root="true" ma:fieldsID="5ddca4fc3dfb02852a514ee2883d9cf5" ns2:_="" ns3:_="">
    <xsd:import namespace="47433736-ab1c-4237-8608-011e277942c4"/>
    <xsd:import namespace="4bbbf409-420f-428f-8686-71d569889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33736-ab1c-4237-8608-011e27794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418180ab-7d1c-472c-9c15-81c0a1e057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bf409-420f-428f-8686-71d569889fe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0beb6b-747c-44c8-9244-9816772be257}" ma:internalName="TaxCatchAll" ma:showField="CatchAllData" ma:web="4bbbf409-420f-428f-8686-71d569889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433736-ab1c-4237-8608-011e277942c4">
      <Terms xmlns="http://schemas.microsoft.com/office/infopath/2007/PartnerControls"/>
    </lcf76f155ced4ddcb4097134ff3c332f>
    <TaxCatchAll xmlns="4bbbf409-420f-428f-8686-71d569889f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76FE80-5082-4EE2-A933-238746505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33736-ab1c-4237-8608-011e277942c4"/>
    <ds:schemaRef ds:uri="4bbbf409-420f-428f-8686-71d569889f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B9F3AD-F3E3-4A47-B9D4-27D4DAFABF01}">
  <ds:schemaRefs>
    <ds:schemaRef ds:uri="http://schemas.microsoft.com/office/2006/metadata/properties"/>
    <ds:schemaRef ds:uri="http://schemas.microsoft.com/office/infopath/2007/PartnerControls"/>
    <ds:schemaRef ds:uri="47433736-ab1c-4237-8608-011e277942c4"/>
    <ds:schemaRef ds:uri="4bbbf409-420f-428f-8686-71d569889fe8"/>
  </ds:schemaRefs>
</ds:datastoreItem>
</file>

<file path=customXml/itemProps3.xml><?xml version="1.0" encoding="utf-8"?>
<ds:datastoreItem xmlns:ds="http://schemas.openxmlformats.org/officeDocument/2006/customXml" ds:itemID="{5FF6F228-CA21-44CF-969C-8B63D11540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근태신청관리 다운로드</vt:lpstr>
      <vt:lpstr>페이지</vt:lpstr>
      <vt:lpstr>기초데이터</vt:lpstr>
      <vt:lpstr>신청내역</vt:lpstr>
      <vt:lpstr>신청월</vt:lpstr>
      <vt:lpstr>초과시간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이지영</dc:creator>
  <cp:lastModifiedBy>이지영</cp:lastModifiedBy>
  <dcterms:created xsi:type="dcterms:W3CDTF">2025-04-04T05:57:26Z</dcterms:created>
  <dcterms:modified xsi:type="dcterms:W3CDTF">2025-04-04T08:09:38Z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0x010100B197C140CCD4334EAF0E2911DA575923</vt:lpwstr>
  </property>
  <property fmtid="{D5CDD505-2E9C-101B-9397-08002B2CF9AE}" pid="3" name="MediaServiceImageTags">
    <vt:lpwstr/>
  </property>
</Properties>
</file>